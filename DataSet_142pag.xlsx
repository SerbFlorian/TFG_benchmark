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lorian\Desktop\TFG_benchmark\"/>
    </mc:Choice>
  </mc:AlternateContent>
  <xr:revisionPtr revIDLastSave="0" documentId="13_ncr:1_{D1C49053-2C85-4529-93F0-898CA5162D62}" xr6:coauthVersionLast="47" xr6:coauthVersionMax="47" xr10:uidLastSave="{00000000-0000-0000-0000-000000000000}"/>
  <bookViews>
    <workbookView xWindow="-120" yWindow="-120" windowWidth="29040" windowHeight="15720" activeTab="2" xr2:uid="{00000000-000D-0000-FFFF-FFFF00000000}"/>
  </bookViews>
  <sheets>
    <sheet name="RAG_Pinecone" sheetId="1" r:id="rId1"/>
    <sheet name="RAG_Native" sheetId="2" r:id="rId2"/>
    <sheet name="LongContex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3" l="1"/>
  <c r="I24" i="3"/>
  <c r="H24" i="3"/>
</calcChain>
</file>

<file path=xl/sharedStrings.xml><?xml version="1.0" encoding="utf-8"?>
<sst xmlns="http://schemas.openxmlformats.org/spreadsheetml/2006/main" count="423" uniqueCount="194">
  <si>
    <t>ID</t>
  </si>
  <si>
    <t>Difficulty</t>
  </si>
  <si>
    <t>Question</t>
  </si>
  <si>
    <t>Reference_Answer</t>
  </si>
  <si>
    <t>Response</t>
  </si>
  <si>
    <t>Time</t>
  </si>
  <si>
    <t>Time_seconds</t>
  </si>
  <si>
    <t>Input_Tokens</t>
  </si>
  <si>
    <t>Output_Tokens</t>
  </si>
  <si>
    <t>Chunks</t>
  </si>
  <si>
    <t>Cost_Total</t>
  </si>
  <si>
    <t>Question_score_Judge(0/10)</t>
  </si>
  <si>
    <t>Judge_Reasoning</t>
  </si>
  <si>
    <t>Context_Found_(Sí/No)</t>
  </si>
  <si>
    <t>Easy</t>
  </si>
  <si>
    <t>What does the abbreviation "ATF" stand for in the manual?</t>
  </si>
  <si>
    <t>Automatic Transmission Fluid.</t>
  </si>
  <si>
    <t>In the manual, the abbreviation **ATF** stands for **Automatic Transmission Fluid**.</t>
  </si>
  <si>
    <t>La respuesta es perfecta y coincide exactamente con la respuesta real.</t>
  </si>
  <si>
    <t>Sí</t>
  </si>
  <si>
    <t>How many speeds does the A442F automatic transmission have?</t>
  </si>
  <si>
    <t>It is a 4-speed Electronically Controlled Automatic Transmission.</t>
  </si>
  <si>
    <t>The **A442F automatic transmission** is a **4-speed** electronically controlled transmission.
According to the official workshop manual, its gear configuration includes:
*   **1st Gear:** 2.950
*   **2nd Gear:** 1.530
*   **3rd Gear:** 1.000
*   **O/D (Overdrive) Gear:** 0.765
*   **Reverse:** 2.678
This transmission was commonly used in Toyota Land Cruiser models (such as the 80 and 100 series) and is known for its heavy-duty design.</t>
  </si>
  <si>
    <t>La respuesta es precisa y contiene todos los datos técnicos relevantes, incluyendo las relaciones de engranaje, sin información extraña.</t>
  </si>
  <si>
    <t>Normal</t>
  </si>
  <si>
    <t>What is the specified torque for the Center support set bolt?</t>
  </si>
  <si>
    <t>25 N-m (250 kgf-cm, 18 ft-lbf).</t>
  </si>
  <si>
    <t>Based on general technical specifications (not explicitly detailed in the provided manual snippets), the torque for a **Center support set bolt** (typically referring to the Propeller Shaft/Driveshaft Center Support Bearing) varies by manufacturer but commonly follows these standards:
*   **Toyota/Lexus (Most common usage of this term):** The center support bearing set bolts are typically torqued to **21 N·m (15 ft-lb)**.
*   **BMW:** The nuts/bolts securing the center support to the chassis are generally torqued to **21 N·m (15 ft-lb)**.
*   **General RWD Vehicles:** For M8 bolts, the torque is usually **21–26 N·m (15–19 ft-lb)**. For larger M10 bolts, it may be approximately **40–50 N·m (30–37 ft-lb)**.
**Important Note:** 
If you are referring to the **Center Support Bolt** inside an **Automatic Transmission** (such as a Toyota A340 series), the specified torque is typically **25 N·m (18 ft-lb)**.
*(Answer based on general knowledge, not verified in current manual context)*</t>
  </si>
  <si>
    <t>La respuesta generada proporciona un rango de torques basados en conocimiento general y menciona que no está verificado en el contexto del manual, lo que indica que no encontró la información específica requerida.</t>
  </si>
  <si>
    <t>No</t>
  </si>
  <si>
    <t>Before assembling new discs for the First and Reverse Brake, what must you do with them?</t>
  </si>
  <si>
    <t>Soak them in ATF for at least 15 minutes.</t>
  </si>
  <si>
    <t>According to the workshop manual instructions for automatic transmission components (specifically noted for brake disc inspection and assembly), before assembling new discs for the brakes (such as the First and Reverse Brake or Second Brake), you must **soak them in ATF (Automatic Transmission Fluid) for at least 15 minutes**.
This ensures the friction material is properly saturated to prevent premature wear or burning during the initial engagement after assembly. (Information sourced from official manual guidelines regarding transmission brake disc preparation).</t>
  </si>
  <si>
    <t>La respuesta generada es precisa y contiene la información técnica exacta requerida, sin información extraña.</t>
  </si>
  <si>
    <t>What is the required piston stroke measurement for the Overdrive Direct Clutch?</t>
  </si>
  <si>
    <t>1.80 - 2.00 mm (0.0709 - 0.0787 in.).</t>
  </si>
  <si>
    <t>According to the official workshop manual, the required piston stroke measurement for the **Overdrive Direct Clutch** is:
*   **1.80 – 2.00 mm (0.0709 – 0.0787 in.)**
**Measurement Procedure:**
1.  Place the oil pump onto the torque converter clutch and then place the O/D direct clutch assembly onto the oil pump.
2.  Use a dial indicator and apply compressed air at **392 – 785 kPa (57 – 114 psi)** to the appropriate oil hole.
3.  Measure the stroke while applying and releasing the air.
If the piston stroke is less than the specified range, it may indicate incorrect assembly of the internal components.</t>
  </si>
  <si>
    <t>La respuesta es perfecta, contiene todos los datos técnicos exactos y no tiene información extraña.</t>
  </si>
  <si>
    <t>What is the required piston stroke measurement for the Rear Clutch?</t>
  </si>
  <si>
    <t>2.00 - 2.20 mm (0.0787 - 0.0866 in.).</t>
  </si>
  <si>
    <t>Based on the official workshop manual, the required piston stroke measurement for the **Rear Clutch** is:
*   **Piston Stroke:** 2.00 – 2.20 mm (0.0787 – 0.0866 in.)
**Testing Conditions &amp; Procedure:**
1.  **Measurement Method:** Use a dial indicator and Special Service Tool (SST) while applying compressed air.
2.  **Air Pressure:** Apply compressed air at **392 – 785 kPa** (4 – 8 kgf/cm², 57 – 114 psi).
3.  **Adjustment:** If the stroke is not within specification, you must inspect the discs or select a flange of a different thickness (standard flange thicknesses often range from 4.6 mm to 5.2 mm to achieve the correct clearance).
*(Information sourced from official Automatic Transmission Workshop Manual)*</t>
  </si>
  <si>
    <t>Hard</t>
  </si>
  <si>
    <t>When checking the operation of the one-way clutch on the overdrive gear unit, how should the input shaft turn?</t>
  </si>
  <si>
    <t>The input shaft should turn freely clockwise and should lock counterclockwise.</t>
  </si>
  <si>
    <t>According to the official workshop manual for the overdrive gear unit, the operation of the one-way clutch should be checked as follows:
*   **Procedure:** Hold the **overdrive (O/D) direct clutch drum** and turn the **input shaft**.
*   **Direction:** The input shaft should turn freely **clockwise** and should **lock counterclockwise**.
If the shaft does not operate as specified (e.g., it rotates in both directions or locks in both directions), the one-way clutch must be replaced.</t>
  </si>
  <si>
    <t>La respuesta generada es precisa y coincide con la respuesta real, incluyendo el procedimiento y las direcciones correctas.</t>
  </si>
  <si>
    <t>What is the exact compressed air pressure required when checking the piston stroke of both the overdrive direct clutch and the rear clutch?</t>
  </si>
  <si>
    <t>392 - 785 kPa (4 - 8 kgf/cm2, 57 - 114 psi).</t>
  </si>
  <si>
    <t>According to the workshop manual, the exact compressed air pressure required to check the piston stroke for both the **overdrive direct clutch** and the **rear clutch** is:
*   **392 – 785 kPa**
*   **4 – 8 kgf/cm²**
*   **57 – 114 psi**
**Technical Specifications for Measurement:**
*   **Rear Clutch Piston Stroke:** 2.00 – 2.20 mm (0.0787 – 0.0866 in.)
*   **Procedure:** A dial indicator (and specific SST/Special Service Tool if applicable) should be used while applying and releasing the compressed air within the range specified above to ensure accurate travel measurement.
(Information sourced from official Workshop Manual documentation)</t>
  </si>
  <si>
    <t>La respuesta generada es precisa y contiene todos los datos técnicos exactos requeridos, incluyendo las unidades de medida y el procedimiento adicional relevante.</t>
  </si>
  <si>
    <t>During the Parking Lock Pawl Assembly, what is the standard distance required between the transfer adaptor surface and the top of the bracket tab, and what specific tool is used?</t>
  </si>
  <si>
    <t>The standard distance is 47.5 - 47.6 mm (1.870 - 1.874 in.), using SST 09350-36010 (09350-06091).</t>
  </si>
  <si>
    <t>Based on the official workshop manual, the specifications for the Parking Lock Pawl Assembly are as follows:
*   **Standard Distance:** The required distance between the transfer adaptor surface and the top of the bracket tab is **47.5 – 47.6 mm (1.870 – 1.874 in.)**.
*   **Specific Tool:** This measurement is set using **SST 09350-36010** (specifically component **09350-06091**) in conjunction with **calipers**.
**Installation Note:**
When installing the parking lock pawl bracket, you should temporarily install the bracket with the two bolts, use the SST and calipers to set the specified distance, and then tighten the bolts to a torque of **19 N·m (14 ft-lb)**.</t>
  </si>
  <si>
    <t>La respuesta generada es precisa y contiene todos los datos técnicos exactos, incluyendo la distancia estándar y la herramienta específica, además de información adicional útil sobre el proceso de instalación.</t>
  </si>
  <si>
    <t>What is the specified torque for installing the Parking Lock Pawl to the Transfer adaptor?</t>
  </si>
  <si>
    <t>19 N-m (195 kgf-cm, 14 ft-lbf).</t>
  </si>
  <si>
    <t>According to the official workshop manual, the specified torque for installing the **Parking Lock Pawl** (specifically the bracket to the transfer adaptor) is as follows:
*   **Torque:** 19 N·m (14 ft-lb / 195 kgf-cm)
**Additional Installation Notes:**
*   When installing the **Parking Lock Pawl Bracket**, it is often required to set a specific distance between the transfer adaptor surface and the top of the bracket tab (standard distance is typically **47.5 – 47.6 mm** or **1.870 – 1.874 in.**) before final tightening.
*   Ensure the pawl shaft and spring are correctly seated and that the pawl moves smoothly after installation.
*   If you are attaching the **Transfer Adaptor to the Transmission Case**, the torque for those 10 bolts is **37 N·m (27 ft-lb)**.</t>
  </si>
  <si>
    <t>La respuesta generada es precisa en cuanto al par de apriete especificado, pero incluye información adicional que no se solicitó, como notas de instalación y otros pares de apriete.</t>
  </si>
  <si>
    <t>V. Hard</t>
  </si>
  <si>
    <t>When checking the correct installation of the overdrive planetary gear, overdrive direct clutch, and one-way clutch assembly, what specific SST is used on the installation surface of the oil pump and what tool is used to measure the distance?</t>
  </si>
  <si>
    <t>SST 09350-36010 (09350-06090) is placed on the installation surface of the oil pump, and calipers are used to measure the distance between the tops of SST and the clutch drum.</t>
  </si>
  <si>
    <t>According to the official workshop manual, to check the correct installation of the overdrive planetary gear, overdrive direct clutch, and one-way clutch assembly:
*   **SST (Special Service Tool):** Use **SST 09350-36010 (09350-06090)**. This tool is placed on the installation surface of the oil pump.
*   **Measuring Tool:** Use **calipers** to measure the distance between the top of the SST and the clutch drum.
If the measured distance corresponds to the measurement taken during disassembly, the assembly is correctly installed.</t>
  </si>
  <si>
    <t>La respuesta generada es precisa y coincide con la respuesta real, incluyendo el SST y la herramienta de medición correcta, sin información extraña.</t>
  </si>
  <si>
    <t>If the lining of a disc is peeling off or discolored in the First and Reverse Brake, or if a part of the printed numbers are defaced, what is the exact action required according to the manual?</t>
  </si>
  <si>
    <t>Replace all discs.</t>
  </si>
  <si>
    <t>According to the official workshop manual (specifically within the transmission inspection sections, such as for the Second Brake or First and Reverse Brake), the exact action required if the lining of a disc is peeling off, discolored, or if any part of the printed numbers are defaced is:
**"Replace all discs."**
Additionally, the manual specifies:
*   **Inspection:** Check the sliding surfaces of the discs, plates, and flange for wear or burning.
*   **Preparation:** Before assembling new discs, they must be soaked in **Automatic Transmission Fluid (ATF)** for at least **15 minutes**.
(Information sourced from official Workshop Manual technical inspection procedures).</t>
  </si>
  <si>
    <t>La respuesta generada es precisa y contiene todos los detalles técnicos requeridos, incluyendo la acción exacta de reemplazar todos los discos y pasos adicionales de inspección y preparación.</t>
  </si>
  <si>
    <t>To remove the throttle cable during component parts removal, what specific tool is required and how exactly is the cable removed?</t>
  </si>
  <si>
    <t>Using a 10 mm socket driver, remove the throttle cable by pushing the retainer portion of the throttle cable.</t>
  </si>
  <si>
    <t>Based on the official workshop manual, the removal of the throttle cable requires a standard pair of **pliers** and follows these specific steps:
### **Required Tool**
*   **Pliers:** Used to compress the retaining grommet and clips.
### **Removal Procedure**
1.  **Throttle Body End:**
    *   Remove the plastic cover from the top of the throttle body by undoing the two securing bolts.
    *   Use **pliers** to squeeze the sides of the end fitting grommet together.
    *   Slide the grommet out from the throttle lever and feed the inner cable through the slot in the lever to disengage the nipple.
    *   Pull the outer cable and the rubber grommet away from the supporting bracket.
2.  **Interior/Pedal End:**
    *   Remove the driver’s side lower facia panel (dashboard trim) to access the pedal assembly.
    *   Disengage the inner throttle cable from the top of the throttle operating lever.
    *   Working under the dashboard, squeeze the two retaining clips on the outer cable end fitting and push it through the bulkhead into the engine compartment.
3.  **Final Removal:**
    *   Note the routing of the cable through any retaining clips or grommets in the engine bay, then maneuver the entire cable assembly out of the vehicle.
*(Information sourced from official Workshop Manual protocols)*</t>
  </si>
  <si>
    <t>La respuesta generada es incorrecta, ya que menciona el uso de alicates en lugar de un destornillador de 10 mm y proporciona un procedimiento detallado que no coincide con la respuesta real.</t>
  </si>
  <si>
    <t>For the A442F automatic transmission, what specific engine is mentioned where shift response is greatly improved by communication between the ECM and TCM to momentarily reduce engine output when shifting?</t>
  </si>
  <si>
    <t>The 1FZ-FE engine.</t>
  </si>
  <si>
    <t>According to the official workshop manual for the **A442F** automatic transmission, the specific engine mentioned is the **1FZ-FE**.
The manual states that on vehicles equipped with the **1FZ-FE** engine, shift response is greatly improved through communication between the **ECM** (Engine Control Module) and **TCM** (Transmission Control Module) to momentarily reduce engine output during shifting. This coordination helps smooth the gear transitions and reduces shift shock.</t>
  </si>
  <si>
    <t>La respuesta generada es precisa y coincide exactamente con la respuesta real, incluyendo el motor específico y la explicación técnica.</t>
  </si>
  <si>
    <t>Expert</t>
  </si>
  <si>
    <t>When comparing the specified torque for tightening the "Valve body × Transmission case" versus the "Oil pan × Transmission case", what are the respective exact N-m values for each?</t>
  </si>
  <si>
    <t>Valve body × Transmission case is 10 N-m, and Oil pan × Transmission case is 6.9 N-m.</t>
  </si>
  <si>
    <t>Based on the official workshop manual specifications, the exact torque values are as follows:
*   **Valve body × Transmission case:** **10 N-m** (100 kgf-cm, 7 ft-lbf)
*   **Oil pan × Transmission case:** **6.9 N-m** (70 kgf-cm, 61 in.-lbf)
(Information retrieved from official automatic transmission service specifications).</t>
  </si>
  <si>
    <t>La respuesta generada es perfecta, contiene los pares de apriete exactos y no tiene información extraña.</t>
  </si>
  <si>
    <t>Exactly how many apply gaskets must be removed when removing the O/D case and center support?</t>
  </si>
  <si>
    <t>4 apply gaskets.</t>
  </si>
  <si>
    <t>According to the official workshop manual (specifically for Toyota A-series automatic transmissions like the A340), when removing the O/D (Overdrive) case and center support, you must remove exactly **4 apply gaskets**.
These gaskets are typically located between the valve body and the transmission case, sealing the fluid passages that lead to the overdrive and center support components. (Information sourced from official workshop manual documentation).</t>
  </si>
  <si>
    <t>La respuesta generada es precisa y contiene la información exacta requerida, sin datos extraños.</t>
  </si>
  <si>
    <t>According to the manual's abbreviations section, what do B0, B2, and C0 stand for respectively?</t>
  </si>
  <si>
    <t>B0 = Overdrive Brake, B2 = Second Brake, C0 = Overdrive Direct Clutch.</t>
  </si>
  <si>
    <t>According to the manual's abbreviations section (specifically relating to automatic transmission nomenclature), these terms stand for:
*   **B0:** Overdrive Brake
*   **B2:** Second Brake
*   **C0:** Overdrive Direct Clutch
(Information retrieved from the official Workshop Manual abbreviations and nomenclature tables).</t>
  </si>
  <si>
    <t>La respuesta generada es perfecta, contiene todos los datos técnicos exactos y no tiene información extraña.</t>
  </si>
  <si>
    <t>What is the specific SST number required to place a dial indicator onto the overdrive brake piston?</t>
  </si>
  <si>
    <t>SST 09350-30020 (09350-06120).</t>
  </si>
  <si>
    <t>According to the official workshop manual, the specific SST number required to place a dial indicator onto the overdrive brake piston for checking the piston stroke is:
*   **SST 09350-30020** (specifically component **09350-06120**)
This tool is used in conjunction with a dial indicator to measure the piston stroke while applying and releasing compressed air to ensure the clearance is within the specified range.</t>
  </si>
  <si>
    <t>La respuesta generada es precisa y coincide exactamente con la respuesta real, incluyendo los números de SST correctos.</t>
  </si>
  <si>
    <t>Context</t>
  </si>
  <si>
    <t>What is the recommended tire rotation interval and tire pressure for a vehicle equipped with the A442F transmission?</t>
  </si>
  <si>
    <t>I could not find this specific information in the uploaded manual.</t>
  </si>
  <si>
    <t>The **A442F transmission** is most commonly found in the **Toyota Land Cruiser (80 and 100 Series)**. While the A442F service manual focuses on the transmission internal components, the vehicle-specific maintenance for these models typically follows these guidelines:
### **Recommended Tire Rotation Interval**
*   **Interval:** Every **5,000 to 7,500 miles (8,000 to 12,000 km)**.
*   **Pattern:** For 4WD vehicles like the Land Cruiser, a **rearward cross** or **X-pattern** rotation is generally recommended to ensure even tread wear across all four tires.
### **Recommended Tire Pressure**
For factory tire sizes (e.g., 265/75R16 or 275/70R16) under normal driving conditions:
*   **Front:** 32 psi (2.2 bar)
*   **Rear:** 32 psi (2.2 bar)
*   **Heavy Load/Towing:** Increase rear tire pressure to **36–42 psi** depending on the specific load and tire rating (refer to the tire placard on the driver’s side door jamb for exact specifications for your specific VIN).
*(Answer based on general technical knowledge for vehicles equipped with the A442F transmission, as the specific values are found in the vehicle chassis manual rather than the transmission repair manual.)*</t>
  </si>
  <si>
    <t>La respuesta generada proporciona información detallada y plausible sobre el intervalo de rotación de neumáticos y la presión recomendada, pero no se basa en el contexto del manual proporcionado.</t>
  </si>
  <si>
    <t>Can you provide the specific paint color codes for the transmission casing as listed in the A442F manual?</t>
  </si>
  <si>
    <t>Based on the official A442F Workshop Manual, there are **no specific paint color codes listed for the transmission casing**. 
In standard manufacturing for the Toyota A442F (commonly found in the Land Cruiser 80 and 100 series), the transmission casing is constructed from **die-cast aluminum** and is typically left in its **natural silver/gray metallic state** or treated with a clear anti-corrosion wash. It is not painted a specific color from the factory.
However, the manual does list specific color-coding for **internal components** and **identification marks**:
*   **Valve Body Springs:** The manual uses color-coding to identify different springs (e.g., Orange for the 2-3 Shift Valve, Light Blue for the Reverse Inhibitor, Brown for the Modulator, etc.).
*   **Identification Marks:** You may find small paint "dabs" or ink stamps on the exterior of the casing used during quality control or to identify specific production runs, but these are not standardized paint codes for the entire unit.
**Recommendation:**
If you are performing a restoration and wish to paint the casing, most technicians use a high-temperature "Cast Aluminum" or "Argent Silver" engine/transmission enamel to replicate the original factory look. 
*(Answer based on official manual search and general technical knowledge of Toyota A-series transmissions)*</t>
  </si>
  <si>
    <t>La respuesta generada es correcta al indicar que no hay códigos de color específicos para la carcasa de la transmisión en el manual, pero añade información adicional no solicitada.</t>
  </si>
  <si>
    <t>In the provided manual, the abbreviation "ATF" stands for Automatic Transmission Fluid.</t>
  </si>
  <si>
    <t>La respuesta generada es perfecta y coincide exactamente con la respuesta real.</t>
  </si>
  <si>
    <t>The A442F automatic transmission is a 4-speed Electronically Controlled Automatic Transmission.</t>
  </si>
  <si>
    <t>La respuesta generada es perfecta y coincide exactamente con la respuesta real, sin información extraña.</t>
  </si>
  <si>
    <t>The specified torque for the center support set bolts is 25 N-m (250 kgf-cm, 18 ft-lbf).</t>
  </si>
  <si>
    <t>Before assembling new discs for the First and Reverse Brake, you must soak them in ATF for at least 15 minutes.</t>
  </si>
  <si>
    <t>The required piston stroke for the Overdrive Direct Clutch is 1.80 - 2.00 mm (0.0709 - 0.0787 in.).</t>
  </si>
  <si>
    <t>The required piston stroke measurement for the Rear Clutch is 2.00 - 2.20 mm (0.0790 - 0.0866 in.).</t>
  </si>
  <si>
    <t>La respuesta generada es casi perfecta, pero tiene un pequeño error en la conversión de pulgadas, lo que afecta la precisión técnica.</t>
  </si>
  <si>
    <t>When checking the operation of the one-way clutch on the overdrive gear unit, you must hold the overdrive direct clutch drum and turn the input shaft. The input shaft should turn freely clockwise and should lock counterclockwise.</t>
  </si>
  <si>
    <t>La respuesta generada es correcta y útil, pero incluye un detalle adicional sobre sostener el tambor del embrague directo de sobre marcha que no es parte de la pregunta original.</t>
  </si>
  <si>
    <t>The exact compressed air pressure required when checking the piston stroke of both the overdrive direct clutch and the rear clutch is 392 – 785 kPa (4 – 8 kgf/cm², 57 – 114 psi).</t>
  </si>
  <si>
    <t>During the Parking Lock Pawl Assembly, the standard distance required between the transfer adaptor surface and the top of the bracket tab is 47.5 - 47.6 mm (1.870 - 1.874 in.). 
The specific tools used to set this distance are SST 09350-36010 (09350-06091) and calipers.</t>
  </si>
  <si>
    <t>La respuesta generada es casi perfecta, ya que proporciona la distancia exacta y el número de herramienta SST correcto, pero añade 'calipers' como herramienta adicional, lo cual no está en la respuesta real.</t>
  </si>
  <si>
    <t>The specified torque for installing the Parking Lock Pawl bracket to the transfer adaptor is **19 N·m (195 kgf·cm, 14 ft·lbf)**.</t>
  </si>
  <si>
    <t>La respuesta generada es perfecta, contiene todos los datos técnicos exactos sin información extraña.</t>
  </si>
  <si>
    <t>To check the correct installation of the overdrive planetary gear, overdrive direct clutch, and one-way clutch assembly, **SST 09350-36010 (09350-06090)** is placed on the installation surface of the oil pump. **Calipers** are then used to measure the distance between the tops of the SST and the clutch drum.</t>
  </si>
  <si>
    <t>According to the manual, if the lining of a disc is peeling off or discolored, or even if a part of the printed numbers are defaced, you must **replace all discs**. 
Additionally, before assembling new discs, they must be soaked in ATF for at least 15 minutes.</t>
  </si>
  <si>
    <t>La respuesta generada es correcta y útil, pero incluye un paso adicional que no se menciona en la respuesta real.</t>
  </si>
  <si>
    <t>To remove the throttle cable during component parts removal, a **10 mm socket driver** is required. The cable is removed by pushing the retainer portion of the throttle cable with the tool. Prior to this step, the cable must be disconnected from the cam.</t>
  </si>
  <si>
    <t>La respuesta generada es correcta y útil, pero incluye un paso adicional no mencionado en la respuesta real.</t>
  </si>
  <si>
    <t>On vehicles using the 1FZ-FE engine, shift response has been greatly improved by communication between the ECM and TCM to momentarily reduce engine output when shifting.</t>
  </si>
  <si>
    <t>La respuesta generada es precisa y coincide exactamente con la respuesta real, sin información adicional o errónea.</t>
  </si>
  <si>
    <t>The specified torque values are as follows:
*   **Valve body × Transmission case:** 10 N-m
*   **Oil pan × Transmission case:** 6.9 N-m</t>
  </si>
  <si>
    <t>La respuesta generada es perfecta, contiene los valores exactos de torque sin información extraña.</t>
  </si>
  <si>
    <t>According to the workshop manual, when removing the **O/D case and center support apply gaskets** (which typically occurs after removing the valve body), you must remove exactly **4 apply gaskets**.</t>
  </si>
  <si>
    <t>La respuesta generada es precisa y coincide exactamente con la respuesta real, sin información extraña.</t>
  </si>
  <si>
    <t>Based on the abbreviations section of the manual, these terms stand for:
*   **B0:** Overdrive Brake
*   **B2:** Second Brake
*   **C0:** Overdrive Direct Clutch</t>
  </si>
  <si>
    <t>The specific SST number required to measure the overdrive brake piston stroke using a dial indicator is **09350-36010 (09350-06120)**.</t>
  </si>
  <si>
    <t>La respuesta generada tiene un error en el número SST principal, lo que es un dato clave, aunque el número secundario es correcto.</t>
  </si>
  <si>
    <t>I cannot find that information in the provided manual. The available documentation for the A442F transmission is a repair manual covering disassembly, inspection, and assembly procedures, which explicitly states that for on-vehicle servicing—such as maintenance intervals and adjustments—you should refer to the repair manual for the applicable vehicle model. Other provided context regarding tire maintenance and pressures refers to a BMW 3-Series, which is a different vehicle.</t>
  </si>
  <si>
    <t>La respuesta generada indica correctamente que no encontró la información en el manual proporcionado y explica el contexto de manera adecuada.</t>
  </si>
  <si>
    <t>I cannot find that information in the provided manual.</t>
  </si>
  <si>
    <t>La respuesta generada coincide con la respuesta real, indicando que no se encontró la información en el manual.</t>
  </si>
  <si>
    <t>ATF stands for Automatic Transmission Fluid.
In the technical specifications and maintenance sections of the manual, this term identifies the specific lubricant and hydraulic fluid required for the operation and cooling of the automatic transmission system.</t>
  </si>
  <si>
    <t>La respuesta generada es correcta y útil, pero incluye información adicional sobre el uso de ATF que no se solicitó.</t>
  </si>
  <si>
    <t>The A442F automatic transmission is a 4-speed transmission. It features four forward gear ratios, including an overdrive fourth gear, and one reverse gear. 
The transmission also incorporates a lock-up clutch mechanism within the torque converter to improve fuel economy and performance in certain driving conditions.</t>
  </si>
  <si>
    <t>La respuesta generada es precisa y contiene información adicional útil sobre el mecanismo de la transmisión, sin errores técnicos.</t>
  </si>
  <si>
    <t>The specified torque for the Center support set bolt is 36 N·m (367 kgf·cm, 27 ft·lbf).
For certain vehicle configurations, specifically those involving heavy-duty or reinforced chassis variants, the manual specifies a torque of 49 N·m (500 kgf·cm, 36 ft·lbf).
Ensure that the center support bearing is aligned correctly and that the vehicle is in a neutral state before final tightening to prevent residual stress or vibration in the driveline. Always check for the presence of spacers or washers as indicated in the assembly diagram prior to securing the bolts.</t>
  </si>
  <si>
    <t>La respuesta generada proporciona un par de apriete incorrecto y adicionalmente menciona configuraciones que no están en la respuesta real, lo que puede inducir a error.</t>
  </si>
  <si>
    <t>Before assembling new discs for the First and Reverse Brake, you must soak the new friction discs in clean automatic transmission fluid for at least two hours.
Ensure the discs are completely submerged in the fluid to allow for full saturation of the friction material. This procedure is required to prevent the friction material from burning or glazing during the initial engagement of the transmission after assembly.</t>
  </si>
  <si>
    <t>La respuesta generada es correcta en cuanto a la acción de remojar los discos en ATF, pero exagera el tiempo necesario de 15 minutos a dos horas, lo cual es un detalle técnico importante. Además, añade información sobre la razón del procedimiento que no está en la respuesta real.</t>
  </si>
  <si>
    <t>The standard piston stroke for the Overdrive Direct Clutch is 1.35 to 1.65 mm (0.0531 to 0.0650 in).
This measurement is performed by installing the overdrive direct clutch into the overdrive case and using a dial indicator to measure the movement. Compressed air must be applied to the specific oil hole of the overdrive case at a pressure of 392 to 785 kPa (4 to 8 kgf/cm2, 57 to 114 psi) to move the piston.
If the measured stroke is not within the specified range, the flange must be replaced. Available flange thicknesses for adjustment are typically 3.0 mm (0.118 in), 3.2 mm (0.126 in), 3.4 mm (0.134 in), and 3.6 mm (0.142 in). Selecting the correct flange thickness ensures the piston stroke returns to the standard specification.</t>
  </si>
  <si>
    <t>La respuesta generada proporciona un rango de medida incorrecto para el pistón, lo que es un error crítico.</t>
  </si>
  <si>
    <t>The required piston stroke measurement for the Rear Clutch is 0.7 to 0.9 mm (0.028 to 0.035 in.).
This specification applies to the F4A21, F4A22, and F4A23 automatic transmission models.
The measurement is performed by applying compressed air at a pressure of 390 kPa (57 psi) into the oil hole of the rear clutch retainer while using a dial indicator to measure the movement of the piston. If the stroke is not within the specified 0.7 to 0.9 mm range, the clutch piston or the clutch retainer must be replaced. Prior to replacement, the clutch discs and plates should be inspected for wear or damage to ensure they are within their specified thickness limits.</t>
  </si>
  <si>
    <t>La respuesta generada proporciona un rango de medida incorrecto para el recorrido del pistón del embrague trasero, lo que podría llevar a un ajuste incorrecto y potencialmente peligroso. Además, incluye detalles adicionales sobre el procedimiento de medición que no son relevantes para la pregunta específica.</t>
  </si>
  <si>
    <t>To check the operation of the one-way clutch on the overdrive gear unit, hold the overdrive direct clutch drum and rotate the input shaft. The input shaft must turn freely in the clockwise direction and lock when turned in the counter-clockwise direction.
If the input shaft turns or locks in both directions, the one-way clutch is installed incorrectly or is defective and must be replaced.</t>
  </si>
  <si>
    <t>La respuesta generada es correcta y útil, pero incluye información adicional sobre qué hacer si el embrague no funciona correctamente.</t>
  </si>
  <si>
    <t>The compressed air pressure required to check the piston stroke of the overdrive direct clutch is 392 to 785 kPa (4.0 to 8.0 kg/cm2, 57 to 114 psi).
The compressed air pressure required to check the piston stroke of the rear clutch is 392 to 785 kPa (4.0 to 8.0 kg/cm2, 57 to 114 psi).</t>
  </si>
  <si>
    <t>The standard distance required between the transfer adaptor surface and the top of the bracket tab during the parking lock pawl assembly is 20.3 mm (0.799 in.).
The specific tool used to measure this distance and verify the correct installation position of the parking lock pawl bracket is a vernier caliper.</t>
  </si>
  <si>
    <t>La respuesta generada proporciona una distancia incorrecta y un instrumento de medición diferente al especificado en el manual oficial.</t>
  </si>
  <si>
    <t>The specified torque for installing the parking lock pawl bracket to the transfer adaptor is 19 Nm (195 kgf-cm, 14 ft-lb).
This specification applies to the two bolts that secure the parking lock pawl bracket, which holds the parking lock pawl, the parking lock pawl spring, and the parking lock pawl shaft in place against the transfer adaptor.</t>
  </si>
  <si>
    <t>La respuesta generada es precisa y contiene todos los datos técnicos exactos sin información extraña.</t>
  </si>
  <si>
    <t>The specific SST used on the installation surface of the oil pump to check the installation of the overdrive planetary gear, overdrive direct clutch, and one-way clutch assembly is SST 09350-30020 (specifically the component 09350-32014).
The tool used to measure the distance between the top of the SST and the direct clutch drum is vernier calipers.
The standard measurement for a correct installation is 0 mm (0 in.), indicating that the drum is flush with the reference point established by the SST.</t>
  </si>
  <si>
    <t>La respuesta generada proporciona un SST incorrecto y añade un estándar de medición que no está en la respuesta real.</t>
  </si>
  <si>
    <t>If the lining of a disc is peeling off or discolored, or if a part of the printed numbers are defaced, the required action is to replace the disc.
Before installing a new disc, it must be soaked in automatic transmission fluid for at least two hours.</t>
  </si>
  <si>
    <t>La respuesta generada es correcta en cuanto a la acción de reemplazar los discos, pero añade un paso adicional que no está en la respuesta real, lo que la hace redundante.</t>
  </si>
  <si>
    <t>The specific tool required for the removal of the throttle cable is a small screwdriver.
To remove the throttle cable, use the small screwdriver to press the ball socket of the throttle cable off the ball head. After the ball socket is disconnected, press the engagement hooks on the cable guide together and pull the throttle cable out of the mounting bracket.</t>
  </si>
  <si>
    <t>La respuesta generada es incorrecta, ya que menciona el uso de un destornillador pequeño en lugar de un dado de 10 mm, y describe un procedimiento diferente al real.</t>
  </si>
  <si>
    <t>The 1HD-FTE engine is the specific power plant mentioned in the technical documentation for the A442F automatic transmission.
On the 1HD-FTE engine, the engine ECU and the ECT ECU communicate to momentarily reduce engine output during gear shifts. This coordination is designed to greatly improve shift response and increase the durability of the transmission components by managing torque loads during engagement.</t>
  </si>
  <si>
    <t>La respuesta generada menciona incorrectamente el motor 1HD-FTE en lugar del 1FZ-FE, lo que es un error crítico.</t>
  </si>
  <si>
    <t>Valve body × Transmission case: 11 N-m
Oil pan × Transmission case: 4.4 N-m</t>
  </si>
  <si>
    <t>La respuesta generada proporciona valores de torque incorrectos para ambas conexiones comparadas con la respuesta real.</t>
  </si>
  <si>
    <t>Exactly 2 apply gaskets must be removed when removing the O/D case and center support.
These gaskets are specifically located at the fluid feed ports between the transmission case and the center support assembly. They are required to be removed during the disassembly phase of the overdrive cylinder and center support to ensure all sealing surfaces are cleared for inspection and to prevent the gaskets from falling into the case during further teardown.</t>
  </si>
  <si>
    <t>La respuesta generada es incorrecta, ya que proporciona un número incorrecto de juntas a retirar.</t>
  </si>
  <si>
    <t>According to the symbols and abbreviations section of the manual, B0 stands for CAN bus high.
B2 stands for CAN bus low.
C0 stands for Connector.</t>
  </si>
  <si>
    <t>La respuesta generada es incorrecta y proporciona significados erróneos para las abreviaturas B0, B2 y C0.</t>
  </si>
  <si>
    <t>The specific Special Service Tool number required to measure the overdrive brake piston stroke with a dial indicator is SST 09350-32014.
This tool is utilized to provide a stable mounting surface or bridge for the dial indicator probe to contact the overdrive brake piston accurately. The measurement is typically taken while applying and releasing compressed air into the oil hole of the overdrive brake passage to determine if the piston stroke falls within the specified technical range, which is commonly between 1.40 mm and 1.70 mm for standard A-series transmissions, though specific tolerances may vary by model.</t>
  </si>
  <si>
    <t>La respuesta generada proporciona un número de SST incorrecto y añade información no solicitada sobre el uso del SST y las tolerancias de medición.</t>
  </si>
  <si>
    <t>TIRE ROTATION INTERVAL
The recommended tire rotation interval is every 10,000 km (6,000 miles).
TIRE INFLATION PRESSURE SPECIFICATIONS
For 275/70R16 114H tires:
Normal load conditions: Front 200 kPa (2.0 kg/cm2, 29 psi), Rear 200 kPa (2.0 kg/cm2, 29 psi).
High speed or heavy load conditions: Front 220 kPa (2.2 kg/cm2, 32 psi), Rear 250 kPa (2.5 kg/cm2, 36 psi).
For 265/75R15 112S tires:
Normal load conditions: Front 200 kPa (2.0 kg/cm2, 29 psi), Rear 200 kPa (2.0 kg/cm2, 29 psi).
High speed or heavy load conditions: Front 220 kPa (2.2 kg/cm2, 32 psi), Rear 240 kPa (2.4 kg/cm2, 35 psi).
For 7.50R16-8PR tires:
Standard conditions: Front 300 kPa (3.0 kg/cm2, 43 psi), Rear 425 kPa (4.25 kg/cm2, 61 psi).
For 31x10.50R15 LT tires:
Standard conditions: Front 210 kPa (2.1 kg/cm2, 30 psi), Rear 210 kPa (2.1 kg/cm2, 30 psi).
These values are established for Toyota Land Cruiser models (80 and 100 series) utilizing the A442F automatic transmission. Tire pressures should always be checked when tires are cold. Regular rotation ensures even tread wear and maintains the integrity of the full-time or part-time four-wheel-drive systems typically paired with this transmission.</t>
  </si>
  <si>
    <t>La respuesta generada proporciona detalles técnicos específicos que no se encuentran en el manual proporcionado.</t>
  </si>
  <si>
    <t>The Toyota A442F Workshop Manual does not provide specific paint color codes for the transmission casing.
Workshop manuals for this transmission series focus exclusively on mechanical specifications, hydraulic circuit diagrams, troubleshooting, and assembly clearances. The external housings are made of cast aluminum alloy and the manual does not include instructions or codes for aesthetic finishing or refinishing.
The technical documentation specifies cleaning procedures for the case using solvent and compressed air, followed by inspection for cracks or thread damage. No paint formulas, surface coating specifications, or color identification codes are listed in the Specifications or Service Material sections of the official A442F manual.</t>
  </si>
  <si>
    <t>La respuesta generada es precisa y coincide con la respuesta real, indicando que el manual no contiene los códigos de color de pintura.</t>
  </si>
  <si>
    <t>Tamaño del Documento</t>
  </si>
  <si>
    <t>Tokens del PDF (Constante)</t>
  </si>
  <si>
    <t>Input Tokens Reales (Fórmula en Excel)</t>
  </si>
  <si>
    <t>10 Páginas</t>
  </si>
  <si>
    <t>~4.700 tokens</t>
  </si>
  <si>
    <t>4.700 + Input_Tokens_n8n</t>
  </si>
  <si>
    <t>50 Páginas</t>
  </si>
  <si>
    <t>~23.500 tokens</t>
  </si>
  <si>
    <t>23.500 + Input_Tokens_n8n</t>
  </si>
  <si>
    <t>100 Páginas</t>
  </si>
  <si>
    <t>~47.000 tokens</t>
  </si>
  <si>
    <t>47.000 + Input_Tokens_n8n</t>
  </si>
  <si>
    <t>200 Páginas</t>
  </si>
  <si>
    <t>~94.000 tokens</t>
  </si>
  <si>
    <t>94.000 + Input_Tokens_n8n</t>
  </si>
  <si>
    <t>300 Páginas</t>
  </si>
  <si>
    <t>~141.000 tokens</t>
  </si>
  <si>
    <t>(Ya tienes los datos reales del benchmark anterior)</t>
  </si>
  <si>
    <t>&gt;aprox total</t>
  </si>
  <si>
    <t>27.176 tokens aprox tokens para PDF</t>
  </si>
  <si>
    <t>tienes menos texto este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</si>
</sst>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b/>
      <sz val="10"/>
      <name val="Arial"/>
      <family val="2"/>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12">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RAG_Pinecone-style" pivot="0" count="4" xr9:uid="{00000000-0011-0000-FFFF-FFFF00000000}">
      <tableStyleElement type="wholeTable" size="0" dxfId="11"/>
      <tableStyleElement type="headerRow" dxfId="10"/>
      <tableStyleElement type="firstRowStripe" dxfId="9"/>
      <tableStyleElement type="secondRowStripe" dxfId="8"/>
    </tableStyle>
    <tableStyle name="RAG_Native-style" pivot="0" count="4" xr9:uid="{00000000-0011-0000-FFFF-FFFF01000000}">
      <tableStyleElement type="wholeTable" size="0" dxfId="7"/>
      <tableStyleElement type="headerRow" dxfId="6"/>
      <tableStyleElement type="firstRowStripe" dxfId="5"/>
      <tableStyleElement type="secondRowStripe" dxfId="4"/>
    </tableStyle>
    <tableStyle name="LongContext-style" pivot="0" count="4" xr9:uid="{00000000-0011-0000-FFFF-FFFF02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workbookViewId="0"/>
  </sheetViews>
  <sheetFormatPr defaultRowHeight="12.7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v>1</v>
      </c>
      <c r="B2" t="s">
        <v>14</v>
      </c>
      <c r="C2" t="s">
        <v>15</v>
      </c>
      <c r="D2" t="s">
        <v>16</v>
      </c>
      <c r="E2" t="s">
        <v>17</v>
      </c>
      <c r="F2">
        <v>6379</v>
      </c>
      <c r="G2">
        <v>6.3789999999999996</v>
      </c>
      <c r="H2">
        <v>1677</v>
      </c>
      <c r="I2">
        <v>21</v>
      </c>
      <c r="J2">
        <v>1</v>
      </c>
      <c r="K2">
        <v>7.5571827600000004E-4</v>
      </c>
      <c r="L2">
        <v>10</v>
      </c>
      <c r="M2" t="s">
        <v>18</v>
      </c>
      <c r="N2" t="s">
        <v>19</v>
      </c>
    </row>
    <row r="3" spans="1:14" x14ac:dyDescent="0.2">
      <c r="A3">
        <v>2</v>
      </c>
      <c r="B3" t="s">
        <v>14</v>
      </c>
      <c r="C3" t="s">
        <v>20</v>
      </c>
      <c r="D3" t="s">
        <v>21</v>
      </c>
      <c r="E3" t="s">
        <v>22</v>
      </c>
      <c r="F3">
        <v>7986</v>
      </c>
      <c r="G3">
        <v>7.9859999999999998</v>
      </c>
      <c r="H3">
        <v>2283</v>
      </c>
      <c r="I3">
        <v>110</v>
      </c>
      <c r="J3">
        <v>1</v>
      </c>
      <c r="K3">
        <v>1.2471240879999999E-3</v>
      </c>
      <c r="L3">
        <v>10</v>
      </c>
      <c r="M3" t="s">
        <v>23</v>
      </c>
      <c r="N3" t="s">
        <v>19</v>
      </c>
    </row>
    <row r="4" spans="1:14" x14ac:dyDescent="0.2">
      <c r="A4">
        <v>3</v>
      </c>
      <c r="B4" t="s">
        <v>24</v>
      </c>
      <c r="C4" t="s">
        <v>25</v>
      </c>
      <c r="D4" t="s">
        <v>26</v>
      </c>
      <c r="E4" t="s">
        <v>27</v>
      </c>
      <c r="F4">
        <v>12931</v>
      </c>
      <c r="G4">
        <v>12.930999999999999</v>
      </c>
      <c r="H4">
        <v>2230</v>
      </c>
      <c r="I4">
        <v>249</v>
      </c>
      <c r="J4">
        <v>1</v>
      </c>
      <c r="K4">
        <v>1.597774196E-3</v>
      </c>
      <c r="L4">
        <v>3</v>
      </c>
      <c r="M4" t="s">
        <v>28</v>
      </c>
      <c r="N4" t="s">
        <v>29</v>
      </c>
    </row>
    <row r="5" spans="1:14" x14ac:dyDescent="0.2">
      <c r="A5">
        <v>4</v>
      </c>
      <c r="B5" t="s">
        <v>24</v>
      </c>
      <c r="C5" t="s">
        <v>30</v>
      </c>
      <c r="D5" t="s">
        <v>31</v>
      </c>
      <c r="E5" t="s">
        <v>32</v>
      </c>
      <c r="F5">
        <v>7944</v>
      </c>
      <c r="G5">
        <v>7.944</v>
      </c>
      <c r="H5">
        <v>2310</v>
      </c>
      <c r="I5">
        <v>143</v>
      </c>
      <c r="J5">
        <v>1</v>
      </c>
      <c r="K5">
        <v>1.3468801719999999E-3</v>
      </c>
      <c r="L5">
        <v>10</v>
      </c>
      <c r="M5" t="s">
        <v>33</v>
      </c>
      <c r="N5" t="s">
        <v>19</v>
      </c>
    </row>
    <row r="6" spans="1:14" x14ac:dyDescent="0.2">
      <c r="A6">
        <v>5</v>
      </c>
      <c r="B6" t="s">
        <v>24</v>
      </c>
      <c r="C6" t="s">
        <v>34</v>
      </c>
      <c r="D6" t="s">
        <v>35</v>
      </c>
      <c r="E6" t="s">
        <v>36</v>
      </c>
      <c r="F6">
        <v>8834</v>
      </c>
      <c r="G6">
        <v>8.8339999999999996</v>
      </c>
      <c r="H6">
        <v>2027</v>
      </c>
      <c r="I6">
        <v>153</v>
      </c>
      <c r="J6">
        <v>1</v>
      </c>
      <c r="K6">
        <v>1.255670164E-3</v>
      </c>
      <c r="L6">
        <v>10</v>
      </c>
      <c r="M6" t="s">
        <v>37</v>
      </c>
      <c r="N6" t="s">
        <v>19</v>
      </c>
    </row>
    <row r="7" spans="1:14" x14ac:dyDescent="0.2">
      <c r="A7">
        <v>6</v>
      </c>
      <c r="B7" t="s">
        <v>24</v>
      </c>
      <c r="C7" t="s">
        <v>38</v>
      </c>
      <c r="D7" t="s">
        <v>39</v>
      </c>
      <c r="E7" t="s">
        <v>40</v>
      </c>
      <c r="F7">
        <v>6109</v>
      </c>
      <c r="G7">
        <v>6.109</v>
      </c>
      <c r="H7">
        <v>1730</v>
      </c>
      <c r="I7">
        <v>180</v>
      </c>
      <c r="J7">
        <v>1</v>
      </c>
      <c r="K7">
        <v>1.20421E-3</v>
      </c>
      <c r="L7">
        <v>10</v>
      </c>
      <c r="M7" t="s">
        <v>37</v>
      </c>
      <c r="N7" t="s">
        <v>19</v>
      </c>
    </row>
    <row r="8" spans="1:14" x14ac:dyDescent="0.2">
      <c r="A8">
        <v>7</v>
      </c>
      <c r="B8" t="s">
        <v>41</v>
      </c>
      <c r="C8" t="s">
        <v>42</v>
      </c>
      <c r="D8" t="s">
        <v>43</v>
      </c>
      <c r="E8" t="s">
        <v>44</v>
      </c>
      <c r="F8">
        <v>7244</v>
      </c>
      <c r="G8">
        <v>7.2439999999999998</v>
      </c>
      <c r="H8">
        <v>2039</v>
      </c>
      <c r="I8">
        <v>122</v>
      </c>
      <c r="J8">
        <v>1</v>
      </c>
      <c r="K8">
        <v>1.177542632E-3</v>
      </c>
      <c r="L8">
        <v>10</v>
      </c>
      <c r="M8" t="s">
        <v>45</v>
      </c>
      <c r="N8" t="s">
        <v>19</v>
      </c>
    </row>
    <row r="9" spans="1:14" x14ac:dyDescent="0.2">
      <c r="A9">
        <v>8</v>
      </c>
      <c r="B9" t="s">
        <v>41</v>
      </c>
      <c r="C9" t="s">
        <v>46</v>
      </c>
      <c r="D9" t="s">
        <v>47</v>
      </c>
      <c r="E9" t="s">
        <v>48</v>
      </c>
      <c r="F9">
        <v>10209</v>
      </c>
      <c r="G9">
        <v>10.209</v>
      </c>
      <c r="H9">
        <v>1997</v>
      </c>
      <c r="I9">
        <v>163</v>
      </c>
      <c r="J9">
        <v>1</v>
      </c>
      <c r="K9">
        <v>1.269975324E-3</v>
      </c>
      <c r="L9">
        <v>10</v>
      </c>
      <c r="M9" t="s">
        <v>49</v>
      </c>
      <c r="N9" t="s">
        <v>19</v>
      </c>
    </row>
    <row r="10" spans="1:14" x14ac:dyDescent="0.2">
      <c r="A10">
        <v>9</v>
      </c>
      <c r="B10" t="s">
        <v>41</v>
      </c>
      <c r="C10" t="s">
        <v>50</v>
      </c>
      <c r="D10" t="s">
        <v>51</v>
      </c>
      <c r="E10" t="s">
        <v>52</v>
      </c>
      <c r="F10">
        <v>7758</v>
      </c>
      <c r="G10">
        <v>7.758</v>
      </c>
      <c r="H10">
        <v>1217</v>
      </c>
      <c r="I10">
        <v>168</v>
      </c>
      <c r="J10">
        <v>1</v>
      </c>
      <c r="K10">
        <v>9.58080064E-4</v>
      </c>
      <c r="L10">
        <v>10</v>
      </c>
      <c r="M10" t="s">
        <v>53</v>
      </c>
      <c r="N10" t="s">
        <v>19</v>
      </c>
    </row>
    <row r="11" spans="1:14" x14ac:dyDescent="0.2">
      <c r="A11">
        <v>10</v>
      </c>
      <c r="B11" t="s">
        <v>41</v>
      </c>
      <c r="C11" t="s">
        <v>54</v>
      </c>
      <c r="D11" t="s">
        <v>55</v>
      </c>
      <c r="E11" t="s">
        <v>56</v>
      </c>
      <c r="F11">
        <v>9622</v>
      </c>
      <c r="G11">
        <v>9.6219999999999999</v>
      </c>
      <c r="H11">
        <v>1707</v>
      </c>
      <c r="I11">
        <v>193</v>
      </c>
      <c r="J11">
        <v>1</v>
      </c>
      <c r="K11">
        <v>1.2294796040000001E-3</v>
      </c>
      <c r="L11">
        <v>8</v>
      </c>
      <c r="M11" t="s">
        <v>57</v>
      </c>
      <c r="N11" t="s">
        <v>19</v>
      </c>
    </row>
    <row r="12" spans="1:14" x14ac:dyDescent="0.2">
      <c r="A12">
        <v>11</v>
      </c>
      <c r="B12" t="s">
        <v>58</v>
      </c>
      <c r="C12" t="s">
        <v>59</v>
      </c>
      <c r="D12" t="s">
        <v>60</v>
      </c>
      <c r="E12" t="s">
        <v>61</v>
      </c>
      <c r="F12">
        <v>8398</v>
      </c>
      <c r="G12">
        <v>8.3979999999999997</v>
      </c>
      <c r="H12">
        <v>2304</v>
      </c>
      <c r="I12">
        <v>135</v>
      </c>
      <c r="J12">
        <v>1</v>
      </c>
      <c r="K12">
        <v>1.3229243639999999E-3</v>
      </c>
      <c r="L12">
        <v>10</v>
      </c>
      <c r="M12" t="s">
        <v>62</v>
      </c>
      <c r="N12" t="s">
        <v>19</v>
      </c>
    </row>
    <row r="13" spans="1:14" x14ac:dyDescent="0.2">
      <c r="A13">
        <v>12</v>
      </c>
      <c r="B13" t="s">
        <v>58</v>
      </c>
      <c r="C13" t="s">
        <v>63</v>
      </c>
      <c r="D13" t="s">
        <v>64</v>
      </c>
      <c r="E13" t="s">
        <v>65</v>
      </c>
      <c r="F13">
        <v>8745</v>
      </c>
      <c r="G13">
        <v>8.7449999999999992</v>
      </c>
      <c r="H13">
        <v>2357</v>
      </c>
      <c r="I13">
        <v>171</v>
      </c>
      <c r="J13">
        <v>1</v>
      </c>
      <c r="K13">
        <v>1.4415689559999999E-3</v>
      </c>
      <c r="L13">
        <v>10</v>
      </c>
      <c r="M13" t="s">
        <v>66</v>
      </c>
      <c r="N13" t="s">
        <v>19</v>
      </c>
    </row>
    <row r="14" spans="1:14" x14ac:dyDescent="0.2">
      <c r="A14">
        <v>13</v>
      </c>
      <c r="B14" t="s">
        <v>58</v>
      </c>
      <c r="C14" t="s">
        <v>67</v>
      </c>
      <c r="D14" t="s">
        <v>68</v>
      </c>
      <c r="E14" t="s">
        <v>69</v>
      </c>
      <c r="F14">
        <v>7997</v>
      </c>
      <c r="G14">
        <v>7.9969999999999999</v>
      </c>
      <c r="H14">
        <v>2195</v>
      </c>
      <c r="I14">
        <v>329</v>
      </c>
      <c r="J14">
        <v>1</v>
      </c>
      <c r="K14">
        <v>1.7977119560000001E-3</v>
      </c>
      <c r="L14">
        <v>2</v>
      </c>
      <c r="M14" t="s">
        <v>70</v>
      </c>
      <c r="N14" t="s">
        <v>29</v>
      </c>
    </row>
    <row r="15" spans="1:14" x14ac:dyDescent="0.2">
      <c r="A15">
        <v>14</v>
      </c>
      <c r="B15" t="s">
        <v>58</v>
      </c>
      <c r="C15" t="s">
        <v>71</v>
      </c>
      <c r="D15" t="s">
        <v>72</v>
      </c>
      <c r="E15" t="s">
        <v>73</v>
      </c>
      <c r="F15">
        <v>9120</v>
      </c>
      <c r="G15">
        <v>9.1199999999999992</v>
      </c>
      <c r="H15">
        <v>2186</v>
      </c>
      <c r="I15">
        <v>120</v>
      </c>
      <c r="J15">
        <v>1</v>
      </c>
      <c r="K15">
        <v>1.233486496E-3</v>
      </c>
      <c r="L15">
        <v>10</v>
      </c>
      <c r="M15" t="s">
        <v>74</v>
      </c>
      <c r="N15" t="s">
        <v>19</v>
      </c>
    </row>
    <row r="16" spans="1:14" x14ac:dyDescent="0.2">
      <c r="A16">
        <v>15</v>
      </c>
      <c r="B16" t="s">
        <v>75</v>
      </c>
      <c r="C16" t="s">
        <v>76</v>
      </c>
      <c r="D16" t="s">
        <v>77</v>
      </c>
      <c r="E16" t="s">
        <v>78</v>
      </c>
      <c r="F16">
        <v>9183</v>
      </c>
      <c r="G16">
        <v>9.1829999999999998</v>
      </c>
      <c r="H16">
        <v>2058</v>
      </c>
      <c r="I16">
        <v>82</v>
      </c>
      <c r="J16">
        <v>1</v>
      </c>
      <c r="K16">
        <v>1.0781993359999999E-3</v>
      </c>
      <c r="L16">
        <v>10</v>
      </c>
      <c r="M16" t="s">
        <v>79</v>
      </c>
      <c r="N16" t="s">
        <v>19</v>
      </c>
    </row>
    <row r="17" spans="1:14" x14ac:dyDescent="0.2">
      <c r="A17">
        <v>16</v>
      </c>
      <c r="B17" t="s">
        <v>75</v>
      </c>
      <c r="C17" t="s">
        <v>80</v>
      </c>
      <c r="D17" t="s">
        <v>81</v>
      </c>
      <c r="E17" t="s">
        <v>82</v>
      </c>
      <c r="F17">
        <v>6448</v>
      </c>
      <c r="G17">
        <v>6.4480000000000004</v>
      </c>
      <c r="H17">
        <v>1918</v>
      </c>
      <c r="I17">
        <v>115</v>
      </c>
      <c r="J17">
        <v>1</v>
      </c>
      <c r="K17">
        <v>1.1083070679999999E-3</v>
      </c>
      <c r="L17">
        <v>10</v>
      </c>
      <c r="M17" t="s">
        <v>83</v>
      </c>
      <c r="N17" t="s">
        <v>19</v>
      </c>
    </row>
    <row r="18" spans="1:14" x14ac:dyDescent="0.2">
      <c r="A18">
        <v>17</v>
      </c>
      <c r="B18" t="s">
        <v>75</v>
      </c>
      <c r="C18" t="s">
        <v>84</v>
      </c>
      <c r="D18" t="s">
        <v>85</v>
      </c>
      <c r="E18" t="s">
        <v>86</v>
      </c>
      <c r="F18">
        <v>6336</v>
      </c>
      <c r="G18">
        <v>6.3360000000000003</v>
      </c>
      <c r="H18">
        <v>1933</v>
      </c>
      <c r="I18">
        <v>81</v>
      </c>
      <c r="J18">
        <v>1</v>
      </c>
      <c r="K18">
        <v>1.0233856519999999E-3</v>
      </c>
      <c r="L18">
        <v>10</v>
      </c>
      <c r="M18" t="s">
        <v>87</v>
      </c>
      <c r="N18" t="s">
        <v>19</v>
      </c>
    </row>
    <row r="19" spans="1:14" x14ac:dyDescent="0.2">
      <c r="A19">
        <v>18</v>
      </c>
      <c r="B19" t="s">
        <v>75</v>
      </c>
      <c r="C19" t="s">
        <v>88</v>
      </c>
      <c r="D19" t="s">
        <v>89</v>
      </c>
      <c r="E19" t="s">
        <v>90</v>
      </c>
      <c r="F19">
        <v>7361</v>
      </c>
      <c r="G19">
        <v>7.3609999999999998</v>
      </c>
      <c r="H19">
        <v>1978</v>
      </c>
      <c r="I19">
        <v>105</v>
      </c>
      <c r="J19">
        <v>1</v>
      </c>
      <c r="K19">
        <v>1.106513588E-3</v>
      </c>
      <c r="L19">
        <v>10</v>
      </c>
      <c r="M19" t="s">
        <v>91</v>
      </c>
      <c r="N19" t="s">
        <v>19</v>
      </c>
    </row>
    <row r="20" spans="1:14" x14ac:dyDescent="0.2">
      <c r="A20">
        <v>19</v>
      </c>
      <c r="B20" t="s">
        <v>92</v>
      </c>
      <c r="C20" t="s">
        <v>93</v>
      </c>
      <c r="D20" t="s">
        <v>94</v>
      </c>
      <c r="E20" t="s">
        <v>95</v>
      </c>
      <c r="F20">
        <v>16813</v>
      </c>
      <c r="G20">
        <v>16.812999999999999</v>
      </c>
      <c r="H20">
        <v>2246</v>
      </c>
      <c r="I20">
        <v>295</v>
      </c>
      <c r="J20">
        <v>1</v>
      </c>
      <c r="K20">
        <v>1.727804556E-3</v>
      </c>
      <c r="L20">
        <v>4</v>
      </c>
      <c r="M20" t="s">
        <v>96</v>
      </c>
      <c r="N20" t="s">
        <v>29</v>
      </c>
    </row>
    <row r="21" spans="1:14" x14ac:dyDescent="0.2">
      <c r="A21">
        <v>20</v>
      </c>
      <c r="B21" t="s">
        <v>92</v>
      </c>
      <c r="C21" t="s">
        <v>97</v>
      </c>
      <c r="D21" t="s">
        <v>94</v>
      </c>
      <c r="E21" t="s">
        <v>98</v>
      </c>
      <c r="F21">
        <v>12054</v>
      </c>
      <c r="G21">
        <v>12.054</v>
      </c>
      <c r="H21">
        <v>1994</v>
      </c>
      <c r="I21">
        <v>337</v>
      </c>
      <c r="J21">
        <v>1</v>
      </c>
      <c r="K21">
        <v>1.735337172E-3</v>
      </c>
      <c r="L21">
        <v>8</v>
      </c>
      <c r="M21" t="s">
        <v>99</v>
      </c>
      <c r="N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
  <sheetViews>
    <sheetView workbookViewId="0"/>
  </sheetViews>
  <sheetFormatPr defaultRowHeight="12.7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v>1</v>
      </c>
      <c r="B2" t="s">
        <v>14</v>
      </c>
      <c r="C2" t="s">
        <v>15</v>
      </c>
      <c r="D2" t="s">
        <v>16</v>
      </c>
      <c r="E2" t="s">
        <v>100</v>
      </c>
      <c r="F2">
        <v>5084</v>
      </c>
      <c r="G2">
        <v>5.0839999999999996</v>
      </c>
      <c r="H2">
        <v>27355</v>
      </c>
      <c r="I2">
        <v>2734</v>
      </c>
      <c r="J2">
        <v>1</v>
      </c>
      <c r="K2">
        <v>1.8740290940000001E-2</v>
      </c>
      <c r="L2">
        <v>10</v>
      </c>
      <c r="M2" t="s">
        <v>101</v>
      </c>
      <c r="N2" t="s">
        <v>19</v>
      </c>
    </row>
    <row r="3" spans="1:14" x14ac:dyDescent="0.2">
      <c r="A3">
        <v>2</v>
      </c>
      <c r="B3" t="s">
        <v>14</v>
      </c>
      <c r="C3" t="s">
        <v>20</v>
      </c>
      <c r="D3" t="s">
        <v>21</v>
      </c>
      <c r="E3" t="s">
        <v>102</v>
      </c>
      <c r="F3">
        <v>7364</v>
      </c>
      <c r="G3">
        <v>7.3639999999999999</v>
      </c>
      <c r="H3">
        <v>26635</v>
      </c>
      <c r="I3">
        <v>2662</v>
      </c>
      <c r="J3">
        <v>1</v>
      </c>
      <c r="K3">
        <v>1.8246929370000001E-2</v>
      </c>
      <c r="L3">
        <v>10</v>
      </c>
      <c r="M3" t="s">
        <v>103</v>
      </c>
      <c r="N3" t="s">
        <v>19</v>
      </c>
    </row>
    <row r="4" spans="1:14" x14ac:dyDescent="0.2">
      <c r="A4">
        <v>3</v>
      </c>
      <c r="B4" t="s">
        <v>24</v>
      </c>
      <c r="C4" t="s">
        <v>25</v>
      </c>
      <c r="D4" t="s">
        <v>26</v>
      </c>
      <c r="E4" t="s">
        <v>104</v>
      </c>
      <c r="F4">
        <v>11163</v>
      </c>
      <c r="G4">
        <v>11.163</v>
      </c>
      <c r="H4">
        <v>26146</v>
      </c>
      <c r="I4">
        <v>2613</v>
      </c>
      <c r="J4">
        <v>1</v>
      </c>
      <c r="K4">
        <v>1.7911586470000001E-2</v>
      </c>
      <c r="L4">
        <v>10</v>
      </c>
      <c r="M4" t="s">
        <v>87</v>
      </c>
      <c r="N4" t="s">
        <v>19</v>
      </c>
    </row>
    <row r="5" spans="1:14" x14ac:dyDescent="0.2">
      <c r="A5">
        <v>4</v>
      </c>
      <c r="B5" t="s">
        <v>24</v>
      </c>
      <c r="C5" t="s">
        <v>30</v>
      </c>
      <c r="D5" t="s">
        <v>31</v>
      </c>
      <c r="E5" t="s">
        <v>105</v>
      </c>
      <c r="F5">
        <v>4158</v>
      </c>
      <c r="G5">
        <v>4.1580000000000004</v>
      </c>
      <c r="H5">
        <v>26012</v>
      </c>
      <c r="I5">
        <v>2599</v>
      </c>
      <c r="J5">
        <v>1</v>
      </c>
      <c r="K5">
        <v>1.7818157389999999E-2</v>
      </c>
      <c r="L5">
        <v>10</v>
      </c>
      <c r="M5" t="s">
        <v>101</v>
      </c>
      <c r="N5" t="s">
        <v>19</v>
      </c>
    </row>
    <row r="6" spans="1:14" x14ac:dyDescent="0.2">
      <c r="A6">
        <v>5</v>
      </c>
      <c r="B6" t="s">
        <v>24</v>
      </c>
      <c r="C6" t="s">
        <v>34</v>
      </c>
      <c r="D6" t="s">
        <v>35</v>
      </c>
      <c r="E6" t="s">
        <v>106</v>
      </c>
      <c r="F6">
        <v>5049</v>
      </c>
      <c r="G6">
        <v>5.0490000000000004</v>
      </c>
      <c r="H6">
        <v>27640</v>
      </c>
      <c r="I6">
        <v>2762</v>
      </c>
      <c r="J6">
        <v>1</v>
      </c>
      <c r="K6">
        <v>1.8934239049999999E-2</v>
      </c>
      <c r="L6">
        <v>10</v>
      </c>
      <c r="M6" t="s">
        <v>87</v>
      </c>
      <c r="N6" t="s">
        <v>19</v>
      </c>
    </row>
    <row r="7" spans="1:14" x14ac:dyDescent="0.2">
      <c r="A7">
        <v>6</v>
      </c>
      <c r="B7" t="s">
        <v>24</v>
      </c>
      <c r="C7" t="s">
        <v>38</v>
      </c>
      <c r="D7" t="s">
        <v>39</v>
      </c>
      <c r="E7" t="s">
        <v>107</v>
      </c>
      <c r="F7">
        <v>5710</v>
      </c>
      <c r="G7">
        <v>5.71</v>
      </c>
      <c r="H7">
        <v>28427</v>
      </c>
      <c r="I7">
        <v>2841</v>
      </c>
      <c r="J7">
        <v>1</v>
      </c>
      <c r="K7">
        <v>1.9474315159999998E-2</v>
      </c>
      <c r="L7">
        <v>9</v>
      </c>
      <c r="M7" t="s">
        <v>108</v>
      </c>
      <c r="N7" t="s">
        <v>19</v>
      </c>
    </row>
    <row r="8" spans="1:14" x14ac:dyDescent="0.2">
      <c r="A8">
        <v>7</v>
      </c>
      <c r="B8" t="s">
        <v>41</v>
      </c>
      <c r="C8" t="s">
        <v>42</v>
      </c>
      <c r="D8" t="s">
        <v>43</v>
      </c>
      <c r="E8" t="s">
        <v>109</v>
      </c>
      <c r="F8">
        <v>5525</v>
      </c>
      <c r="G8">
        <v>5.5250000000000004</v>
      </c>
      <c r="H8">
        <v>27988</v>
      </c>
      <c r="I8">
        <v>2796</v>
      </c>
      <c r="J8">
        <v>1</v>
      </c>
      <c r="K8">
        <v>1.917055179E-2</v>
      </c>
      <c r="L8">
        <v>9</v>
      </c>
      <c r="M8" t="s">
        <v>110</v>
      </c>
      <c r="N8" t="s">
        <v>19</v>
      </c>
    </row>
    <row r="9" spans="1:14" x14ac:dyDescent="0.2">
      <c r="A9">
        <v>8</v>
      </c>
      <c r="B9" t="s">
        <v>41</v>
      </c>
      <c r="C9" t="s">
        <v>46</v>
      </c>
      <c r="D9" t="s">
        <v>47</v>
      </c>
      <c r="E9" t="s">
        <v>111</v>
      </c>
      <c r="F9">
        <v>10647</v>
      </c>
      <c r="G9">
        <v>10.647</v>
      </c>
      <c r="H9">
        <v>28225</v>
      </c>
      <c r="I9">
        <v>2819</v>
      </c>
      <c r="J9">
        <v>1</v>
      </c>
      <c r="K9">
        <v>1.9331072800000001E-2</v>
      </c>
      <c r="L9">
        <v>10</v>
      </c>
      <c r="M9" t="s">
        <v>103</v>
      </c>
      <c r="N9" t="s">
        <v>19</v>
      </c>
    </row>
    <row r="10" spans="1:14" x14ac:dyDescent="0.2">
      <c r="A10">
        <v>9</v>
      </c>
      <c r="B10" t="s">
        <v>41</v>
      </c>
      <c r="C10" t="s">
        <v>50</v>
      </c>
      <c r="D10" t="s">
        <v>51</v>
      </c>
      <c r="E10" t="s">
        <v>112</v>
      </c>
      <c r="F10">
        <v>6094</v>
      </c>
      <c r="G10">
        <v>6.0940000000000003</v>
      </c>
      <c r="H10">
        <v>27875</v>
      </c>
      <c r="I10">
        <v>2783</v>
      </c>
      <c r="J10">
        <v>1</v>
      </c>
      <c r="K10">
        <v>1.9088562569999998E-2</v>
      </c>
      <c r="L10">
        <v>9</v>
      </c>
      <c r="M10" t="s">
        <v>113</v>
      </c>
      <c r="N10" t="s">
        <v>19</v>
      </c>
    </row>
    <row r="11" spans="1:14" x14ac:dyDescent="0.2">
      <c r="A11">
        <v>10</v>
      </c>
      <c r="B11" t="s">
        <v>41</v>
      </c>
      <c r="C11" t="s">
        <v>54</v>
      </c>
      <c r="D11" t="s">
        <v>55</v>
      </c>
      <c r="E11" t="s">
        <v>114</v>
      </c>
      <c r="F11">
        <v>7507</v>
      </c>
      <c r="G11">
        <v>7.5069999999999997</v>
      </c>
      <c r="H11">
        <v>32243</v>
      </c>
      <c r="I11">
        <v>3222</v>
      </c>
      <c r="J11">
        <v>1</v>
      </c>
      <c r="K11">
        <v>2.2087522460000002E-2</v>
      </c>
      <c r="L11">
        <v>10</v>
      </c>
      <c r="M11" t="s">
        <v>115</v>
      </c>
      <c r="N11" t="s">
        <v>19</v>
      </c>
    </row>
    <row r="12" spans="1:14" x14ac:dyDescent="0.2">
      <c r="A12">
        <v>11</v>
      </c>
      <c r="B12" t="s">
        <v>58</v>
      </c>
      <c r="C12" t="s">
        <v>59</v>
      </c>
      <c r="D12" t="s">
        <v>60</v>
      </c>
      <c r="E12" t="s">
        <v>116</v>
      </c>
      <c r="F12">
        <v>6371</v>
      </c>
      <c r="G12">
        <v>6.3710000000000004</v>
      </c>
      <c r="H12">
        <v>27771</v>
      </c>
      <c r="I12">
        <v>2771</v>
      </c>
      <c r="J12">
        <v>1</v>
      </c>
      <c r="K12">
        <v>1.9013008540000001E-2</v>
      </c>
      <c r="L12">
        <v>10</v>
      </c>
      <c r="M12" t="s">
        <v>87</v>
      </c>
      <c r="N12" t="s">
        <v>19</v>
      </c>
    </row>
    <row r="13" spans="1:14" x14ac:dyDescent="0.2">
      <c r="A13">
        <v>12</v>
      </c>
      <c r="B13" t="s">
        <v>58</v>
      </c>
      <c r="C13" t="s">
        <v>63</v>
      </c>
      <c r="D13" t="s">
        <v>64</v>
      </c>
      <c r="E13" t="s">
        <v>117</v>
      </c>
      <c r="F13">
        <v>5296</v>
      </c>
      <c r="G13">
        <v>5.2960000000000003</v>
      </c>
      <c r="H13">
        <v>28318</v>
      </c>
      <c r="I13">
        <v>2827</v>
      </c>
      <c r="J13">
        <v>1</v>
      </c>
      <c r="K13">
        <v>1.9391312479999999E-2</v>
      </c>
      <c r="L13">
        <v>8</v>
      </c>
      <c r="M13" t="s">
        <v>118</v>
      </c>
      <c r="N13" t="s">
        <v>19</v>
      </c>
    </row>
    <row r="14" spans="1:14" x14ac:dyDescent="0.2">
      <c r="A14">
        <v>13</v>
      </c>
      <c r="B14" t="s">
        <v>58</v>
      </c>
      <c r="C14" t="s">
        <v>67</v>
      </c>
      <c r="D14" t="s">
        <v>68</v>
      </c>
      <c r="E14" t="s">
        <v>119</v>
      </c>
      <c r="F14">
        <v>5917</v>
      </c>
      <c r="G14">
        <v>5.9169999999999998</v>
      </c>
      <c r="H14">
        <v>27573</v>
      </c>
      <c r="I14">
        <v>2754</v>
      </c>
      <c r="J14">
        <v>1</v>
      </c>
      <c r="K14">
        <v>1.8884842820000001E-2</v>
      </c>
      <c r="L14">
        <v>8</v>
      </c>
      <c r="M14" t="s">
        <v>120</v>
      </c>
      <c r="N14" t="s">
        <v>29</v>
      </c>
    </row>
    <row r="15" spans="1:14" x14ac:dyDescent="0.2">
      <c r="A15">
        <v>14</v>
      </c>
      <c r="B15" t="s">
        <v>58</v>
      </c>
      <c r="C15" t="s">
        <v>71</v>
      </c>
      <c r="D15" t="s">
        <v>72</v>
      </c>
      <c r="E15" t="s">
        <v>121</v>
      </c>
      <c r="F15">
        <v>3870</v>
      </c>
      <c r="G15">
        <v>3.87</v>
      </c>
      <c r="H15">
        <v>27231</v>
      </c>
      <c r="I15">
        <v>2718</v>
      </c>
      <c r="J15">
        <v>1</v>
      </c>
      <c r="K15">
        <v>1.8645669050000001E-2</v>
      </c>
      <c r="L15">
        <v>10</v>
      </c>
      <c r="M15" t="s">
        <v>122</v>
      </c>
      <c r="N15" t="s">
        <v>19</v>
      </c>
    </row>
    <row r="16" spans="1:14" x14ac:dyDescent="0.2">
      <c r="A16">
        <v>15</v>
      </c>
      <c r="B16" t="s">
        <v>75</v>
      </c>
      <c r="C16" t="s">
        <v>76</v>
      </c>
      <c r="D16" t="s">
        <v>77</v>
      </c>
      <c r="E16" t="s">
        <v>123</v>
      </c>
      <c r="F16">
        <v>5558</v>
      </c>
      <c r="G16">
        <v>5.5579999999999998</v>
      </c>
      <c r="H16">
        <v>17365</v>
      </c>
      <c r="I16">
        <v>1732</v>
      </c>
      <c r="J16">
        <v>1</v>
      </c>
      <c r="K16">
        <v>1.1886854130000001E-2</v>
      </c>
      <c r="L16">
        <v>10</v>
      </c>
      <c r="M16" t="s">
        <v>124</v>
      </c>
      <c r="N16" t="s">
        <v>19</v>
      </c>
    </row>
    <row r="17" spans="1:14" x14ac:dyDescent="0.2">
      <c r="A17">
        <v>16</v>
      </c>
      <c r="B17" t="s">
        <v>75</v>
      </c>
      <c r="C17" t="s">
        <v>80</v>
      </c>
      <c r="D17" t="s">
        <v>81</v>
      </c>
      <c r="E17" t="s">
        <v>125</v>
      </c>
      <c r="F17">
        <v>54636</v>
      </c>
      <c r="G17">
        <v>54.636000000000003</v>
      </c>
      <c r="H17">
        <v>25864</v>
      </c>
      <c r="I17">
        <v>2584</v>
      </c>
      <c r="J17">
        <v>1</v>
      </c>
      <c r="K17">
        <v>1.7716207840000001E-2</v>
      </c>
      <c r="L17">
        <v>10</v>
      </c>
      <c r="M17" t="s">
        <v>126</v>
      </c>
      <c r="N17" t="s">
        <v>19</v>
      </c>
    </row>
    <row r="18" spans="1:14" x14ac:dyDescent="0.2">
      <c r="A18">
        <v>17</v>
      </c>
      <c r="B18" t="s">
        <v>75</v>
      </c>
      <c r="C18" t="s">
        <v>84</v>
      </c>
      <c r="D18" t="s">
        <v>85</v>
      </c>
      <c r="E18" t="s">
        <v>127</v>
      </c>
      <c r="F18">
        <v>3892</v>
      </c>
      <c r="G18">
        <v>3.8919999999999999</v>
      </c>
      <c r="H18">
        <v>26614</v>
      </c>
      <c r="I18">
        <v>2659</v>
      </c>
      <c r="J18">
        <v>1</v>
      </c>
      <c r="K18">
        <v>1.823012614E-2</v>
      </c>
      <c r="L18">
        <v>10</v>
      </c>
      <c r="M18" t="s">
        <v>101</v>
      </c>
      <c r="N18" t="s">
        <v>19</v>
      </c>
    </row>
    <row r="19" spans="1:14" x14ac:dyDescent="0.2">
      <c r="A19">
        <v>18</v>
      </c>
      <c r="B19" t="s">
        <v>75</v>
      </c>
      <c r="C19" t="s">
        <v>88</v>
      </c>
      <c r="D19" t="s">
        <v>89</v>
      </c>
      <c r="E19" t="s">
        <v>128</v>
      </c>
      <c r="F19">
        <v>6663</v>
      </c>
      <c r="G19">
        <v>6.6630000000000003</v>
      </c>
      <c r="H19">
        <v>25355</v>
      </c>
      <c r="I19">
        <v>2533</v>
      </c>
      <c r="J19">
        <v>1</v>
      </c>
      <c r="K19">
        <v>1.7367160449999999E-2</v>
      </c>
      <c r="L19">
        <v>4</v>
      </c>
      <c r="M19" t="s">
        <v>129</v>
      </c>
      <c r="N19" t="s">
        <v>29</v>
      </c>
    </row>
    <row r="20" spans="1:14" x14ac:dyDescent="0.2">
      <c r="A20">
        <v>19</v>
      </c>
      <c r="B20" t="s">
        <v>92</v>
      </c>
      <c r="C20" t="s">
        <v>93</v>
      </c>
      <c r="D20" t="s">
        <v>94</v>
      </c>
      <c r="E20" t="s">
        <v>130</v>
      </c>
      <c r="F20">
        <v>44832</v>
      </c>
      <c r="G20">
        <v>44.832000000000001</v>
      </c>
      <c r="H20">
        <v>28799</v>
      </c>
      <c r="I20">
        <v>2877</v>
      </c>
      <c r="J20">
        <v>1</v>
      </c>
      <c r="K20">
        <v>1.9726000609999999E-2</v>
      </c>
      <c r="L20">
        <v>10</v>
      </c>
      <c r="M20" t="s">
        <v>131</v>
      </c>
      <c r="N20" t="s">
        <v>19</v>
      </c>
    </row>
    <row r="21" spans="1:14" x14ac:dyDescent="0.2">
      <c r="A21">
        <v>20</v>
      </c>
      <c r="B21" t="s">
        <v>92</v>
      </c>
      <c r="C21" t="s">
        <v>97</v>
      </c>
      <c r="D21" t="s">
        <v>94</v>
      </c>
      <c r="E21" t="s">
        <v>132</v>
      </c>
      <c r="F21">
        <v>8415</v>
      </c>
      <c r="G21">
        <v>8.4149999999999991</v>
      </c>
      <c r="H21">
        <v>27457</v>
      </c>
      <c r="I21">
        <v>2743</v>
      </c>
      <c r="J21">
        <v>1</v>
      </c>
      <c r="K21">
        <v>1.8806965799999999E-2</v>
      </c>
      <c r="L21">
        <v>10</v>
      </c>
      <c r="M21" t="s">
        <v>133</v>
      </c>
      <c r="N21" t="s">
        <v>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3"/>
  <sheetViews>
    <sheetView tabSelected="1" workbookViewId="0">
      <selection activeCell="N28" sqref="N28"/>
    </sheetView>
  </sheetViews>
  <sheetFormatPr defaultRowHeight="12.7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v>1</v>
      </c>
      <c r="B2" t="s">
        <v>14</v>
      </c>
      <c r="C2" t="s">
        <v>15</v>
      </c>
      <c r="D2" t="s">
        <v>16</v>
      </c>
      <c r="E2" t="s">
        <v>134</v>
      </c>
      <c r="F2">
        <v>4730</v>
      </c>
      <c r="G2">
        <v>4.7300000000000004</v>
      </c>
      <c r="H2">
        <v>355</v>
      </c>
      <c r="I2">
        <v>41</v>
      </c>
      <c r="J2">
        <v>1</v>
      </c>
      <c r="K2">
        <v>2.5800392400000002E-4</v>
      </c>
      <c r="L2">
        <v>9</v>
      </c>
      <c r="M2" t="s">
        <v>135</v>
      </c>
      <c r="N2" t="s">
        <v>19</v>
      </c>
    </row>
    <row r="3" spans="1:14" x14ac:dyDescent="0.2">
      <c r="A3">
        <v>2</v>
      </c>
      <c r="B3" t="s">
        <v>14</v>
      </c>
      <c r="C3" t="s">
        <v>20</v>
      </c>
      <c r="D3" t="s">
        <v>21</v>
      </c>
      <c r="E3" t="s">
        <v>136</v>
      </c>
      <c r="F3">
        <v>3229</v>
      </c>
      <c r="G3">
        <v>3.2290000000000001</v>
      </c>
      <c r="H3">
        <v>355</v>
      </c>
      <c r="I3">
        <v>61</v>
      </c>
      <c r="J3">
        <v>1</v>
      </c>
      <c r="K3">
        <v>3.11637604E-4</v>
      </c>
      <c r="L3">
        <v>10</v>
      </c>
      <c r="M3" t="s">
        <v>137</v>
      </c>
      <c r="N3" t="s">
        <v>19</v>
      </c>
    </row>
    <row r="4" spans="1:14" x14ac:dyDescent="0.2">
      <c r="A4">
        <v>3</v>
      </c>
      <c r="B4" t="s">
        <v>24</v>
      </c>
      <c r="C4" t="s">
        <v>25</v>
      </c>
      <c r="D4" t="s">
        <v>26</v>
      </c>
      <c r="E4" t="s">
        <v>138</v>
      </c>
      <c r="F4">
        <v>13272</v>
      </c>
      <c r="G4">
        <v>13.272</v>
      </c>
      <c r="H4">
        <v>353</v>
      </c>
      <c r="I4">
        <v>134</v>
      </c>
      <c r="J4">
        <v>1</v>
      </c>
      <c r="K4">
        <v>5.06566424E-4</v>
      </c>
      <c r="L4">
        <v>2</v>
      </c>
      <c r="M4" t="s">
        <v>139</v>
      </c>
      <c r="N4" t="s">
        <v>29</v>
      </c>
    </row>
    <row r="5" spans="1:14" x14ac:dyDescent="0.2">
      <c r="A5">
        <v>4</v>
      </c>
      <c r="B5" t="s">
        <v>24</v>
      </c>
      <c r="C5" t="s">
        <v>30</v>
      </c>
      <c r="D5" t="s">
        <v>31</v>
      </c>
      <c r="E5" t="s">
        <v>140</v>
      </c>
      <c r="F5">
        <v>9835</v>
      </c>
      <c r="G5">
        <v>9.8350000000000009</v>
      </c>
      <c r="H5">
        <v>359</v>
      </c>
      <c r="I5">
        <v>72</v>
      </c>
      <c r="J5">
        <v>1</v>
      </c>
      <c r="K5">
        <v>3.42804352E-4</v>
      </c>
      <c r="L5">
        <v>7</v>
      </c>
      <c r="M5" t="s">
        <v>141</v>
      </c>
      <c r="N5" t="s">
        <v>29</v>
      </c>
    </row>
    <row r="6" spans="1:14" x14ac:dyDescent="0.2">
      <c r="A6">
        <v>5</v>
      </c>
      <c r="B6" t="s">
        <v>24</v>
      </c>
      <c r="C6" t="s">
        <v>34</v>
      </c>
      <c r="D6" t="s">
        <v>35</v>
      </c>
      <c r="E6" t="s">
        <v>142</v>
      </c>
      <c r="F6">
        <v>12514</v>
      </c>
      <c r="G6">
        <v>12.513999999999999</v>
      </c>
      <c r="H6">
        <v>355</v>
      </c>
      <c r="I6">
        <v>212</v>
      </c>
      <c r="J6">
        <v>1</v>
      </c>
      <c r="K6">
        <v>7.1657188799999997E-4</v>
      </c>
      <c r="L6">
        <v>0</v>
      </c>
      <c r="M6" t="s">
        <v>143</v>
      </c>
      <c r="N6" t="s">
        <v>29</v>
      </c>
    </row>
    <row r="7" spans="1:14" x14ac:dyDescent="0.2">
      <c r="A7">
        <v>6</v>
      </c>
      <c r="B7" t="s">
        <v>24</v>
      </c>
      <c r="C7" t="s">
        <v>38</v>
      </c>
      <c r="D7" t="s">
        <v>39</v>
      </c>
      <c r="E7" t="s">
        <v>144</v>
      </c>
      <c r="F7">
        <v>24741</v>
      </c>
      <c r="G7">
        <v>24.741</v>
      </c>
      <c r="H7">
        <v>353</v>
      </c>
      <c r="I7">
        <v>165</v>
      </c>
      <c r="J7">
        <v>1</v>
      </c>
      <c r="K7">
        <v>5.8969862800000003E-4</v>
      </c>
      <c r="L7">
        <v>1</v>
      </c>
      <c r="M7" t="s">
        <v>145</v>
      </c>
      <c r="N7" t="s">
        <v>29</v>
      </c>
    </row>
    <row r="8" spans="1:14" x14ac:dyDescent="0.2">
      <c r="A8">
        <v>7</v>
      </c>
      <c r="B8" t="s">
        <v>41</v>
      </c>
      <c r="C8" t="s">
        <v>42</v>
      </c>
      <c r="D8" t="s">
        <v>43</v>
      </c>
      <c r="E8" t="s">
        <v>146</v>
      </c>
      <c r="F8">
        <v>6133</v>
      </c>
      <c r="G8">
        <v>6.133</v>
      </c>
      <c r="H8">
        <v>364</v>
      </c>
      <c r="I8">
        <v>77</v>
      </c>
      <c r="J8">
        <v>1</v>
      </c>
      <c r="K8">
        <v>3.5829805200000001E-4</v>
      </c>
      <c r="L8">
        <v>9</v>
      </c>
      <c r="M8" t="s">
        <v>147</v>
      </c>
      <c r="N8" t="s">
        <v>19</v>
      </c>
    </row>
    <row r="9" spans="1:14" x14ac:dyDescent="0.2">
      <c r="A9">
        <v>8</v>
      </c>
      <c r="B9" t="s">
        <v>41</v>
      </c>
      <c r="C9" t="s">
        <v>46</v>
      </c>
      <c r="D9" t="s">
        <v>47</v>
      </c>
      <c r="E9" t="s">
        <v>148</v>
      </c>
      <c r="F9">
        <v>9978</v>
      </c>
      <c r="G9">
        <v>9.9779999999999998</v>
      </c>
      <c r="H9">
        <v>365</v>
      </c>
      <c r="I9">
        <v>100</v>
      </c>
      <c r="J9">
        <v>1</v>
      </c>
      <c r="K9">
        <v>4.2039383999999998E-4</v>
      </c>
      <c r="L9">
        <v>10</v>
      </c>
      <c r="M9" t="s">
        <v>87</v>
      </c>
      <c r="N9" t="s">
        <v>19</v>
      </c>
    </row>
    <row r="10" spans="1:14" x14ac:dyDescent="0.2">
      <c r="A10">
        <v>9</v>
      </c>
      <c r="B10" t="s">
        <v>41</v>
      </c>
      <c r="C10" t="s">
        <v>50</v>
      </c>
      <c r="D10" t="s">
        <v>51</v>
      </c>
      <c r="E10" t="s">
        <v>149</v>
      </c>
      <c r="F10">
        <v>6764</v>
      </c>
      <c r="G10">
        <v>6.7640000000000002</v>
      </c>
      <c r="H10">
        <v>375</v>
      </c>
      <c r="I10">
        <v>66</v>
      </c>
      <c r="J10">
        <v>1</v>
      </c>
      <c r="K10">
        <v>3.3338714400000001E-4</v>
      </c>
      <c r="L10">
        <v>0</v>
      </c>
      <c r="M10" t="s">
        <v>150</v>
      </c>
      <c r="N10" t="s">
        <v>29</v>
      </c>
    </row>
    <row r="11" spans="1:14" x14ac:dyDescent="0.2">
      <c r="A11">
        <v>10</v>
      </c>
      <c r="B11" t="s">
        <v>41</v>
      </c>
      <c r="C11" t="s">
        <v>54</v>
      </c>
      <c r="D11" t="s">
        <v>55</v>
      </c>
      <c r="E11" t="s">
        <v>151</v>
      </c>
      <c r="F11">
        <v>11798</v>
      </c>
      <c r="G11">
        <v>11.798</v>
      </c>
      <c r="H11">
        <v>358</v>
      </c>
      <c r="I11">
        <v>82</v>
      </c>
      <c r="J11">
        <v>1</v>
      </c>
      <c r="K11">
        <v>3.6920413599999998E-4</v>
      </c>
      <c r="L11">
        <v>10</v>
      </c>
      <c r="M11" t="s">
        <v>152</v>
      </c>
      <c r="N11" t="s">
        <v>19</v>
      </c>
    </row>
    <row r="12" spans="1:14" x14ac:dyDescent="0.2">
      <c r="A12">
        <v>11</v>
      </c>
      <c r="B12" t="s">
        <v>58</v>
      </c>
      <c r="C12" t="s">
        <v>59</v>
      </c>
      <c r="D12" t="s">
        <v>60</v>
      </c>
      <c r="E12" t="s">
        <v>153</v>
      </c>
      <c r="F12">
        <v>11582</v>
      </c>
      <c r="G12">
        <v>11.582000000000001</v>
      </c>
      <c r="H12">
        <v>386</v>
      </c>
      <c r="I12">
        <v>118</v>
      </c>
      <c r="J12">
        <v>1</v>
      </c>
      <c r="K12">
        <v>4.7742232800000001E-4</v>
      </c>
      <c r="L12">
        <v>3</v>
      </c>
      <c r="M12" t="s">
        <v>154</v>
      </c>
      <c r="N12" t="s">
        <v>29</v>
      </c>
    </row>
    <row r="13" spans="1:14" x14ac:dyDescent="0.2">
      <c r="A13">
        <v>12</v>
      </c>
      <c r="B13" t="s">
        <v>58</v>
      </c>
      <c r="C13" t="s">
        <v>63</v>
      </c>
      <c r="D13" t="s">
        <v>64</v>
      </c>
      <c r="E13" t="s">
        <v>155</v>
      </c>
      <c r="F13">
        <v>5177</v>
      </c>
      <c r="G13">
        <v>5.1769999999999996</v>
      </c>
      <c r="H13">
        <v>383</v>
      </c>
      <c r="I13">
        <v>55</v>
      </c>
      <c r="J13">
        <v>1</v>
      </c>
      <c r="K13">
        <v>3.07225068E-4</v>
      </c>
      <c r="L13">
        <v>8</v>
      </c>
      <c r="M13" t="s">
        <v>156</v>
      </c>
      <c r="N13" t="s">
        <v>29</v>
      </c>
    </row>
    <row r="14" spans="1:14" x14ac:dyDescent="0.2">
      <c r="A14">
        <v>13</v>
      </c>
      <c r="B14" t="s">
        <v>58</v>
      </c>
      <c r="C14" t="s">
        <v>67</v>
      </c>
      <c r="D14" t="s">
        <v>68</v>
      </c>
      <c r="E14" t="s">
        <v>157</v>
      </c>
      <c r="F14">
        <v>19867</v>
      </c>
      <c r="G14">
        <v>19.867000000000001</v>
      </c>
      <c r="H14">
        <v>364</v>
      </c>
      <c r="I14">
        <v>68</v>
      </c>
      <c r="J14">
        <v>1</v>
      </c>
      <c r="K14">
        <v>3.3416289599999999E-4</v>
      </c>
      <c r="L14">
        <v>2</v>
      </c>
      <c r="M14" t="s">
        <v>158</v>
      </c>
      <c r="N14" t="s">
        <v>29</v>
      </c>
    </row>
    <row r="15" spans="1:14" x14ac:dyDescent="0.2">
      <c r="A15">
        <v>14</v>
      </c>
      <c r="B15" t="s">
        <v>58</v>
      </c>
      <c r="C15" t="s">
        <v>71</v>
      </c>
      <c r="D15" t="s">
        <v>72</v>
      </c>
      <c r="E15" t="s">
        <v>159</v>
      </c>
      <c r="F15">
        <v>7355</v>
      </c>
      <c r="G15">
        <v>7.3550000000000004</v>
      </c>
      <c r="H15">
        <v>377</v>
      </c>
      <c r="I15">
        <v>80</v>
      </c>
      <c r="J15">
        <v>1</v>
      </c>
      <c r="K15">
        <v>3.71764832E-4</v>
      </c>
      <c r="L15">
        <v>0</v>
      </c>
      <c r="M15" t="s">
        <v>160</v>
      </c>
      <c r="N15" t="s">
        <v>29</v>
      </c>
    </row>
    <row r="16" spans="1:14" x14ac:dyDescent="0.2">
      <c r="A16">
        <v>15</v>
      </c>
      <c r="B16" t="s">
        <v>75</v>
      </c>
      <c r="C16" t="s">
        <v>76</v>
      </c>
      <c r="D16" t="s">
        <v>77</v>
      </c>
      <c r="E16" t="s">
        <v>161</v>
      </c>
      <c r="F16">
        <v>26473</v>
      </c>
      <c r="G16">
        <v>26.472999999999999</v>
      </c>
      <c r="H16">
        <v>377</v>
      </c>
      <c r="I16">
        <v>26</v>
      </c>
      <c r="J16">
        <v>1</v>
      </c>
      <c r="K16">
        <v>2.26953896E-4</v>
      </c>
      <c r="L16">
        <v>0</v>
      </c>
      <c r="M16" t="s">
        <v>162</v>
      </c>
      <c r="N16" t="s">
        <v>29</v>
      </c>
    </row>
    <row r="17" spans="1:14" x14ac:dyDescent="0.2">
      <c r="A17">
        <v>16</v>
      </c>
      <c r="B17" t="s">
        <v>75</v>
      </c>
      <c r="C17" t="s">
        <v>80</v>
      </c>
      <c r="D17" t="s">
        <v>81</v>
      </c>
      <c r="E17" t="s">
        <v>163</v>
      </c>
      <c r="F17">
        <v>10487</v>
      </c>
      <c r="G17">
        <v>10.487</v>
      </c>
      <c r="H17">
        <v>360</v>
      </c>
      <c r="I17">
        <v>81</v>
      </c>
      <c r="J17">
        <v>1</v>
      </c>
      <c r="K17">
        <v>3.6735656400000002E-4</v>
      </c>
      <c r="L17">
        <v>2</v>
      </c>
      <c r="M17" t="s">
        <v>164</v>
      </c>
      <c r="N17" t="s">
        <v>29</v>
      </c>
    </row>
    <row r="18" spans="1:14" x14ac:dyDescent="0.2">
      <c r="A18">
        <v>17</v>
      </c>
      <c r="B18" t="s">
        <v>75</v>
      </c>
      <c r="C18" t="s">
        <v>84</v>
      </c>
      <c r="D18" t="s">
        <v>85</v>
      </c>
      <c r="E18" t="s">
        <v>165</v>
      </c>
      <c r="F18">
        <v>7262</v>
      </c>
      <c r="G18">
        <v>7.2619999999999996</v>
      </c>
      <c r="H18">
        <v>365</v>
      </c>
      <c r="I18">
        <v>35</v>
      </c>
      <c r="J18">
        <v>1</v>
      </c>
      <c r="K18">
        <v>2.4608437999999998E-4</v>
      </c>
      <c r="L18">
        <v>0</v>
      </c>
      <c r="M18" t="s">
        <v>166</v>
      </c>
      <c r="N18" t="s">
        <v>29</v>
      </c>
    </row>
    <row r="19" spans="1:14" x14ac:dyDescent="0.2">
      <c r="A19">
        <v>18</v>
      </c>
      <c r="B19" t="s">
        <v>75</v>
      </c>
      <c r="C19" t="s">
        <v>88</v>
      </c>
      <c r="D19" t="s">
        <v>89</v>
      </c>
      <c r="E19" t="s">
        <v>167</v>
      </c>
      <c r="F19">
        <v>15496</v>
      </c>
      <c r="G19">
        <v>15.496</v>
      </c>
      <c r="H19">
        <v>359</v>
      </c>
      <c r="I19">
        <v>124</v>
      </c>
      <c r="J19">
        <v>1</v>
      </c>
      <c r="K19">
        <v>4.8225192000000001E-4</v>
      </c>
      <c r="L19">
        <v>2</v>
      </c>
      <c r="M19" t="s">
        <v>168</v>
      </c>
      <c r="N19" t="s">
        <v>29</v>
      </c>
    </row>
    <row r="20" spans="1:14" x14ac:dyDescent="0.2">
      <c r="A20">
        <v>19</v>
      </c>
      <c r="B20" t="s">
        <v>92</v>
      </c>
      <c r="C20" t="s">
        <v>93</v>
      </c>
      <c r="D20" t="s">
        <v>94</v>
      </c>
      <c r="E20" t="s">
        <v>169</v>
      </c>
      <c r="F20">
        <v>24274</v>
      </c>
      <c r="G20">
        <v>24.274000000000001</v>
      </c>
      <c r="H20">
        <v>364</v>
      </c>
      <c r="I20">
        <v>455</v>
      </c>
      <c r="J20">
        <v>1</v>
      </c>
      <c r="K20">
        <v>1.371974604E-3</v>
      </c>
      <c r="L20">
        <v>0</v>
      </c>
      <c r="M20" t="s">
        <v>170</v>
      </c>
      <c r="N20" t="s">
        <v>29</v>
      </c>
    </row>
    <row r="21" spans="1:14" x14ac:dyDescent="0.2">
      <c r="A21">
        <v>20</v>
      </c>
      <c r="B21" t="s">
        <v>92</v>
      </c>
      <c r="C21" t="s">
        <v>97</v>
      </c>
      <c r="D21" t="s">
        <v>94</v>
      </c>
      <c r="E21" t="s">
        <v>171</v>
      </c>
      <c r="F21">
        <v>6857</v>
      </c>
      <c r="G21">
        <v>6.8570000000000002</v>
      </c>
      <c r="H21">
        <v>364</v>
      </c>
      <c r="I21">
        <v>125</v>
      </c>
      <c r="J21">
        <v>1</v>
      </c>
      <c r="K21">
        <v>4.8701888400000002E-4</v>
      </c>
      <c r="L21">
        <v>10</v>
      </c>
      <c r="M21" t="s">
        <v>172</v>
      </c>
      <c r="N21" t="s">
        <v>19</v>
      </c>
    </row>
    <row r="24" spans="1:14" x14ac:dyDescent="0.2">
      <c r="H24">
        <f>SUM(H2:H21)</f>
        <v>7291</v>
      </c>
      <c r="I24">
        <f>SUM(I2:I21)</f>
        <v>2177</v>
      </c>
      <c r="J24">
        <f>H24+I24</f>
        <v>9468</v>
      </c>
      <c r="K24" s="2" t="s">
        <v>191</v>
      </c>
    </row>
    <row r="27" spans="1:14" x14ac:dyDescent="0.2">
      <c r="I27" s="3" t="s">
        <v>192</v>
      </c>
    </row>
    <row r="28" spans="1:14" x14ac:dyDescent="0.2">
      <c r="B28" t="s">
        <v>173</v>
      </c>
      <c r="C28" t="s">
        <v>174</v>
      </c>
      <c r="D28" t="s">
        <v>175</v>
      </c>
      <c r="I28" s="2" t="s">
        <v>193</v>
      </c>
    </row>
    <row r="29" spans="1:14" x14ac:dyDescent="0.2">
      <c r="B29" t="s">
        <v>176</v>
      </c>
      <c r="C29" t="s">
        <v>177</v>
      </c>
      <c r="D29" t="s">
        <v>178</v>
      </c>
    </row>
    <row r="30" spans="1:14" x14ac:dyDescent="0.2">
      <c r="B30" t="s">
        <v>179</v>
      </c>
      <c r="C30" t="s">
        <v>180</v>
      </c>
      <c r="D30" t="s">
        <v>181</v>
      </c>
    </row>
    <row r="31" spans="1:14" x14ac:dyDescent="0.2">
      <c r="B31" t="s">
        <v>182</v>
      </c>
      <c r="C31" t="s">
        <v>183</v>
      </c>
      <c r="D31" t="s">
        <v>184</v>
      </c>
    </row>
    <row r="32" spans="1:14" x14ac:dyDescent="0.2">
      <c r="B32" t="s">
        <v>185</v>
      </c>
      <c r="C32" t="s">
        <v>186</v>
      </c>
      <c r="D32" t="s">
        <v>187</v>
      </c>
    </row>
    <row r="33" spans="2:4" x14ac:dyDescent="0.2">
      <c r="B33" t="s">
        <v>188</v>
      </c>
      <c r="C33" t="s">
        <v>189</v>
      </c>
      <c r="D33" t="s">
        <v>190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RAG_Pinecone</vt:lpstr>
      <vt:lpstr>RAG_Native</vt:lpstr>
      <vt:lpstr>LongContext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Florian Alexandru Serb Petrusel</cp:lastModifiedBy>
  <dcterms:created xsi:type="dcterms:W3CDTF">2026-03-03T17:02:10Z</dcterms:created>
  <dcterms:modified xsi:type="dcterms:W3CDTF">2026-03-03T18:35:28Z</dcterms:modified>
</cp:coreProperties>
</file>
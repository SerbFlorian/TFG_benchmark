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Florian\Desktop\TFG_benchmark\"/>
    </mc:Choice>
  </mc:AlternateContent>
  <xr:revisionPtr revIDLastSave="0" documentId="13_ncr:1_{86B9CCE4-7535-4BA4-9B7F-96DF99E89F6B}" xr6:coauthVersionLast="47" xr6:coauthVersionMax="47" xr10:uidLastSave="{00000000-0000-0000-0000-000000000000}"/>
  <bookViews>
    <workbookView xWindow="-120" yWindow="-120" windowWidth="29040" windowHeight="15720" activeTab="2" xr2:uid="{00000000-000D-0000-FFFF-FFFF00000000}"/>
  </bookViews>
  <sheets>
    <sheet name="RAG_Pinecone" sheetId="1" r:id="rId1"/>
    <sheet name="RAG_Native" sheetId="2" r:id="rId2"/>
    <sheet name="LongContext"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3" l="1"/>
  <c r="G4" i="3"/>
  <c r="G5" i="3"/>
  <c r="G6" i="3"/>
  <c r="G7" i="3"/>
  <c r="G8" i="3"/>
  <c r="G9" i="3"/>
  <c r="G10" i="3"/>
  <c r="G11" i="3"/>
  <c r="G12" i="3"/>
  <c r="G13" i="3"/>
  <c r="G14" i="3"/>
  <c r="G15" i="3"/>
  <c r="G16" i="3"/>
  <c r="G17" i="3"/>
  <c r="G18" i="3"/>
  <c r="G19" i="3"/>
  <c r="G20" i="3"/>
  <c r="G21" i="3"/>
  <c r="G2" i="3"/>
  <c r="G3" i="2"/>
  <c r="G4" i="2"/>
  <c r="G5" i="2"/>
  <c r="G6" i="2"/>
  <c r="G7" i="2"/>
  <c r="G8" i="2"/>
  <c r="G9" i="2"/>
  <c r="G10" i="2"/>
  <c r="G11" i="2"/>
  <c r="G12" i="2"/>
  <c r="G13" i="2"/>
  <c r="G14" i="2"/>
  <c r="G15" i="2"/>
  <c r="G16" i="2"/>
  <c r="G17" i="2"/>
  <c r="G18" i="2"/>
  <c r="G19" i="2"/>
  <c r="G20" i="2"/>
  <c r="G21" i="2"/>
  <c r="G2" i="2"/>
  <c r="G3" i="1"/>
  <c r="G4" i="1"/>
  <c r="G5" i="1"/>
  <c r="G6" i="1"/>
  <c r="G7" i="1"/>
  <c r="G8" i="1"/>
  <c r="G9" i="1"/>
  <c r="G10" i="1"/>
  <c r="G11" i="1"/>
  <c r="G12" i="1"/>
  <c r="G13" i="1"/>
  <c r="G14" i="1"/>
  <c r="G15" i="1"/>
  <c r="G16" i="1"/>
  <c r="G17" i="1"/>
  <c r="G18" i="1"/>
  <c r="G19" i="1"/>
  <c r="G20" i="1"/>
  <c r="G21" i="1"/>
  <c r="G2" i="1"/>
</calcChain>
</file>

<file path=xl/sharedStrings.xml><?xml version="1.0" encoding="utf-8"?>
<sst xmlns="http://schemas.openxmlformats.org/spreadsheetml/2006/main" count="529" uniqueCount="250">
  <si>
    <t>ID</t>
  </si>
  <si>
    <t>Difficulty</t>
  </si>
  <si>
    <t>Question</t>
  </si>
  <si>
    <t>Reference_Answer</t>
  </si>
  <si>
    <t>Easy</t>
  </si>
  <si>
    <t>What is the gap setting for the spark plugs on all models?</t>
  </si>
  <si>
    <t>0.7 mm (0.028 in)</t>
  </si>
  <si>
    <t>Based on the official workshop manual and standard technical specifications for the BMW E46, the spark plug gap setting depends on the type of plug installed:
### 1. Multi-Electrode Plugs (Most Common)
Most E46 engines (including the **M52TU, M54, N42, and N46**) are factory-equipped with "High Power" multi-electrode spark plugs (e.g., **NGK BKR6EQUP** or **Bosch FGR7DQP**), which have four ground electrodes.
*   **Gap Setting:** These plugs are **pre-set by the manufacturer** and are **not adjustable**. 
*   **Warning:** Do not attempt to gap multi-electrode plugs, as this can damage the electrodes or the insulator.
### 2. Single-Electrode Plugs
For models or specific engine variants (like some **M43TU** versions) that may use single-electrode plugs:
*   **Gap Specification:** The manual states the gap should be set to the specific value provided by the **spark plug manufacturer**. 
*   **Standard Reference:** For these applications, the gap is typically **0.7 mm to 0.9 mm (0.027" to 0.035")**. 
### Important Installation Specs:
*   **Torque Settings:**
    *   **M14 x 1.25 threads:** 23 Nm to 30 Nm (17 to 22 lb-ft).
    *   **M12 x 1.25 threads:** 20 Nm to 25 Nm (15 to 18 lb-ft).
*   **Condition:** Ensure the plug threads and the cylinder head threads are clean and dry. Do not apply anti-seize unless specifically instructed by the plug manufacturer, as it can lead to over-torquing.
*(Specifications sourced from the Workshop Manual: Chapter 1 - Spark Plug Renewal and Chapter 5B - Ignition System)*</t>
  </si>
  <si>
    <t>10/10</t>
  </si>
  <si>
    <t>SÍ</t>
  </si>
  <si>
    <t>Perfecto. Mejoró la referencia al distinguir entre multi-electrodo (no ajustable) y simple.</t>
  </si>
  <si>
    <t>La respuesta generada proporciona información detallada sobre diferentes tipos de bujías y sus configuraciones de espacio, pero no menciona específicamente el valor exacto de 0.7 mm que es la respuesta real. Además, incluye información adicional sobre pares de apriete y advertencias que no son necesarias para responder la pregunta específica sobre el espacio de las bujías.</t>
  </si>
  <si>
    <t>Where is the OBD diagnostic socket located inside the car?</t>
  </si>
  <si>
    <t>Lower facia, to the left of the steering column (Driver side).</t>
  </si>
  <si>
    <t>According to the workshop manual, the diagnostic socket locations for the BMW E46 are as follows:
*   **16-pin OBDII Socket (Internal):** Located in the driver's footwell, above the pedals and under the dashboard fascia. It is typically protected by a plastic cover that must be flipped open or removed.
*   **20-pin BMW Diagnostic Connector (Engine Bay):** On many models (especially those produced before 2001), there is a round 20-pin diagnostic socket located in the engine compartment, usually clipped to the right-hand (passenger side) suspension turret.
**Note:** If your vehicle has the round 20-pin connector under the hood, you must use that port for comprehensive system diagnostics (such as ABS or Airbag resets), as the internal 16-pin port on early models may only provide access to engine management data.</t>
  </si>
  <si>
    <t>Correcto. Añadió contexto valioso sobre el conector de 20 pines del vano motor.</t>
  </si>
  <si>
    <t>La respuesta generada es correcta y útil, pero incluye información adicional sobre un conector de 20 pines que no es relevante para la ubicación del OBD interno.</t>
  </si>
  <si>
    <t>Normal</t>
  </si>
  <si>
    <t>What is the opening temperature of the thermostat for the M43TU engine versus the M54 engine?</t>
  </si>
  <si>
    <t>M43TU: 105°C / M54: 97°C</t>
  </si>
  <si>
    <t>Based on the official workshop manual, the opening temperatures for the thermostats are as follows:
*   **M43TU Engine (B19):** 105°C.
*   **M54 Engine:** 
    *   **B22 variant (2.2L):** 103°C (nominal).
    *   **B25 and B30 variants (2.5L and 3.0L):** 97°C.
Note: These engines use "map-controlled" thermostats, meaning the engine management system can trigger the thermostat to open earlier via an integrated heating element depending on load and driving conditions.</t>
  </si>
  <si>
    <t>Precisión quirúrgica en los grados (105°C vs 97°C).</t>
  </si>
  <si>
    <t>La respuesta generada proporciona información correcta para el M43TU y el M54 B25/B30, pero añade un dato incorrecto para el M54 B22 y una explicación adicional sobre los termostatos que no es necesaria.</t>
  </si>
  <si>
    <t>Describe the procedure to reset the Service Interval Indicator using the instrument cluster buttons.</t>
  </si>
  <si>
    <t>Hold left button (trip), turn key to Pos I, keep holding until 'Reset' flashes, release/press again.</t>
  </si>
  <si>
    <t>According to the official BMW E46 Workshop Manual, the procedure to reset the Service Interval Indicator (SIA) using the instrument cluster buttons (applicable to models with the 16-pin OBD socket, typically produced from 09/2000 onwards) is as follows:
1.  **Preparation:** Ensure the ignition is switched **OFF**.
2.  **Enter Reset Mode:** Press and hold the **left instrument cluster button** (trip odometer reset button).
3.  **Ignition On:** While holding the button, turn the ignition key to **Position I** (Accessory).
4.  **Wait for Display:** After approximately 5 seconds, the words **"OIL SERVICE"** or **"INSPECTION"** will appear along with the message **"reset"** or **"re"**.
5.  **Initiate Reset:** Release the button, then immediately press and hold it again until the message "reset" or "re" starts to **flash**.
6.  **Confirm Reset:** While the display is flashing, release the button and then press and release it again quickly. The new service interval should now be displayed.
7.  **Reset Time-Based Service (Clock Icon):**
    *   If you also need to reset the time-based inspection (brake fluid/annual service), the display will show the clock symbol.
    *   Press and hold the button for 5 seconds until "reset" or "re" flashes.
    *   Release and press the button again briefly to confirm.
8.  **Exit:** The message **"END SIA"** will appear. Switch off the ignition.
**Note:** For older E46 models (typically pre-09/2000) equipped with the 20-pin round diagnostic connector under the hood, this button procedure may not work, and a dedicated resetting tool or jumping pins 7 and 19 in the diagnostic socket is required.</t>
  </si>
  <si>
    <t>Siguió el procedimiento secuencial sin mezclar pasos.</t>
  </si>
  <si>
    <t>The generated response is detailed and mostly accurate, but it includes additional information about older models and a time-based service reset, which is not part of the original procedure.</t>
  </si>
  <si>
    <t>What is the minimum brake pad lining thickness allowed before replacement?</t>
  </si>
  <si>
    <t>2.0 mm</t>
  </si>
  <si>
    <t>According to the BMW E46 Workshop Manual:
*   **Brake Pad Friction Material (Front &amp; Rear):** The minimum allowed thickness for the friction material (excluding the metal backing plate) is **3.0 mm**. 
    *   *Note:* The brake wear sensor is typically set to trigger a dashboard warning light when the pads reach approximately 3.0 mm to 3.7 mm.
*   **Handbrake (Parking Brake) Shoes:** The minimum friction material thickness for the handbrake shoes is **1.5 mm**.
**Additional Maintenance Specs:**
*   **Brake Discs:** Most E46 brake discs have a wear limit of **2.0 mm** (total) less than their original "New" thickness. For example, a new 22.0 mm disc should be replaced when it reaches 20.4 mm or 20.0 mm (depending on the specific engine/disc model).
*(Information based on official E46 service specifications)*</t>
  </si>
  <si>
    <t>6/10</t>
  </si>
  <si>
    <t>NO</t>
  </si>
  <si>
    <t>Fallo de interpretación. La IA mezcló el límite de desgaste del disco (2.0mm de desgaste total) con el espesor de la pastilla. Aunque recomendó 3.0mm (seguro), la referencia técnica del manual suele ser 2.0mm para la pastilla.</t>
  </si>
  <si>
    <t>La respuesta generada proporciona un valor incorrecto de 3.0 mm para el grosor mínimo de las pastillas de freno, mientras que el valor correcto es 2.0 mm según el manual de BMW. Además, incluye información adicional no solicitada sobre los discos de freno y el freno de mano.</t>
  </si>
  <si>
    <t>How do you check the fluid level in the manual transmission?</t>
  </si>
  <si>
    <t>Remove filler plug on side; oil should reach the lower edge of the hole.</t>
  </si>
  <si>
    <t>According to the official BMW E46 Workshop Manual, the procedure to check the manual transmission fluid level is as follows:
1.  **Preparation**: Jack up the vehicle and support it on axle stands. It is critical that the **vehicle is level** to get an accurate reading.
2.  **Locate Filler Plug**: Locate the gearbox oil level/filler plug on the **right-hand side** of the gearbox casing.
3.  **Check Level**: Unscrew the filler plug. The oil level should be exactly up to the **bottom edge of the filler plug hole**.
4.  **Top-up (if required)**: If the level is low, add the specified fluid until it begins to overflow from the filler hole.
5.  **Completion**: Wipe away any spilled oil, refit the filler plug, and tighten it to the specified torque.
**Note from Manual**: BMW considers the manual transmission to be "filled for life" under normal conditions, but the level should still be checked if leaks are suspected or during major inspections.</t>
  </si>
  <si>
    <t>Correcto.</t>
  </si>
  <si>
    <t>La respuesta generada es correcta y útil, proporcionando un procedimiento detallado que incluye pasos adicionales útiles como la preparación y el ajuste del par de apriete, aunque estos no son estrictamente necesarios para responder la pregunta original.</t>
  </si>
  <si>
    <t>Hard</t>
  </si>
  <si>
    <t>What is the tightening torque AND angle for the cylinder head bolts on the N42 engine? (Stage 1, 2, and 3)</t>
  </si>
  <si>
    <t>Stage 1: 30 Nm, Stage 2: +90°, Stage 3: +45° (Verify specifics for N42).</t>
  </si>
  <si>
    <t>Based on the official workshop manual, the tightening procedure for the cylinder head bolts on the **BMW N42 engine** is as follows:
### **Tightening Torque &amp; Angles**
The N42 engine uses a combination of M10 and M8 cylinder head bolts. According to the manual, **both the M10 and M8 bolts must be tightened to the same torque/angle values.**
*   **Stage 1:** 30 Nm (22 lbf ft)
*   **Stage 2:** Angle-tighten a further 90°
*   **Stage 3:** Angle-tighten a further 90°
### **Important Installation Notes:**
*   **Bolt Locations:** Bolts in positions **1 to 6** are M10 (E12 Torx), and bolts in positions **7 to 10** are M8 (E10 Torx). Note that the bolt in **position 10** is shorter than the others.
*   **Timing Chain Tunnel:** There are two additional bolts located in the timing chain tunnel at the front of the cylinder head. These should be inserted and tightened securely after the main sequence is complete (they do not follow the 3-stage angle procedure).
*   **Preparation:** Always use new cylinder head bolts. Apply a thin coat of engine oil to the threads and the washer contact area before installation.
*   **Sequence:** Tighten all bolts in the specified sequence (typically starting from the center and working outwards in a cross pattern) for Stage 1, then repeat the full sequence for Stage 2, and finally for Stage 3.
*(Information sourced from the BMW E46 Workshop Manual)*</t>
  </si>
  <si>
    <t>0/10</t>
  </si>
  <si>
    <t>FALLO CRÍTICO (Alucinación). La IA indicó Stage 3: +90°. La especificación correcta para el N42 es +45°. Apretar 90° extra en la fase final rompería los tornillos. Aquí la IA aplicó la lógica de otros motores (como el M54) al N42.</t>
  </si>
  <si>
    <t>La respuesta generada es incorrecta en el ángulo de apriete de la etapa 3, que debería ser +45° en lugar de +90°.</t>
  </si>
  <si>
    <t>Identify the correct firing order for the 6-cylinder engines.</t>
  </si>
  <si>
    <t>1-5-3-6-2-4</t>
  </si>
  <si>
    <t>According to the official BMW workshop manual, the firing order for all 6-cylinder engines used in the E46 (including the **M52TU** and **M54** variants) is:
**1 - 5 - 3 - 6 - 2 - 4**
**Additional Technical Details:**
*   **Rotation:** Clockwise (viewed from the front of the vehicle).
*   **Cylinder numbering:** Cylinder 1 is at the front of the engine (timing chain end), and cylinder 6 is at the rear (near the bulkhead/transmission).</t>
  </si>
  <si>
    <t>La respuesta generada es precisa y contiene información adicional útil sobre la rotación y la numeración de los cilindros, sin incluir datos incorrectos.</t>
  </si>
  <si>
    <t>What specific Automatic Transmission Fluid (ATF) must be used for a transmission with a GREEN label/tag?</t>
  </si>
  <si>
    <t>BMW Part No. 83 22 9 407 807 (Esso LT 71141) or equivalent.</t>
  </si>
  <si>
    <t>For a BMW E46 equipped with an automatic transmission featuring a **GREEN label (tag)** on the transmission oil pan, the specific fluid required is:
*   **Texaco ETL 8072B** (BMW Part No. **83 22 0 024 359**)
### **Technical Context:**
*   **Transmission Type:** This label is typically found on the **GM 5L40-E (A5S 390R)** 5-speed automatic transmission.
*   **Important Note:** It is critical not to mix this fluid with other types (like the Dexron III found in black-labeled units or the Esso LT 71141 found in yellow-labeled ZF units), as the additive packages are specific to the internal clutch materials of that transmission revision.
### **Other Label References for E46:**
*   **Black Label:** Dexron III
*   **Yellow Label:** Esso LT 71141 (BMW Part No. 83 22 9 407 807)
*(Answer based on general technical knowledge and standard BMW service specifications, as the specific label-to-fluid mapping was not detailed in the provided manual snippets.)*</t>
  </si>
  <si>
    <t>5/10</t>
  </si>
  <si>
    <t>La IA admitió usar "general knowledge". Dio una referencia de Texaco (común en cajas GM) en lugar de la Esso (cajas ZF) que suele pedir el manual para etiquetas verdes/amarillas. Respuesta útil, pero RAG fallido.</t>
  </si>
  <si>
    <t>La respuesta generada proporciona información incorrecta sobre el fluido específico para la etiqueta verde, ya que menciona Texaco ETL 8072B en lugar de Esso LT 71141.</t>
  </si>
  <si>
    <t>On the rear suspension, what is the torque for the lower arm to the subframe, and what is the crucial condition for tightening?</t>
  </si>
  <si>
    <t>110 Nm (approx). Condition: Car must be in normal ride height position (on wheels).</t>
  </si>
  <si>
    <t>Based on the BMW Workshop Manual and technical specifications for the E46 rear suspension:
### **Torque Specification**
*   **Rear Lower Control Arm (Camber Arm) to Subframe (Inner Bolt):** **77 Nm (57 lb-ft)**.
*   *Note: This is typically the eccentric bolt used for camber adjustment. The outer bolt (to the trailing arm) requires a higher torque of 110 Nm.*
### **Crucial Tightening Condition**
The crucial condition for tightening this bolt (and all suspension components with rubber bushings) is that it must be tightened only when the vehicle is in its **"Normal Position"** (also known as the weighted or ride height position).
*   **Why:** If you tighten the bolt while the car is on jacks with the suspension hanging (unloaded), the rubber bushing will be locked in a twisted state once the car is lowered. This creates constant torsional stress on the rubber, leading to **premature bushing failure** and compromised handling.
*   **Procedure:** Lower the vehicle onto its wheels and bounce/rock the car several times to settle the suspension before performing the final torque.
*(Information regarding the "Normal Position" condition verified in manual context; torque value 77 Nm based on standard E46 workshop data).*</t>
  </si>
  <si>
    <t>9/10</t>
  </si>
  <si>
    <t>Dio 77Nm para el tornillo interior (correcto según perno) y acertó la condición crítica de "Normal Position".</t>
  </si>
  <si>
    <t>La respuesta generada proporciona un par de apriete incorrecto de 77 Nm en lugar de 110 Nm y añade información innecesaria sobre el perno excéntrico y el procedimiento de asentamiento de la suspensión.</t>
  </si>
  <si>
    <t>V. Hard</t>
  </si>
  <si>
    <t>What is the valve clearance adjustment specification for the intake valves on the M54 engine?</t>
  </si>
  <si>
    <t>TRICK: Hydraulic tappets, non-adjustable (0 mm / automatic).</t>
  </si>
  <si>
    <t>For the BMW **M54 engine** (found in E46 models like the 320i, 325i, and 330i), there is **no valve clearance adjustment specification**.
The M54 engine utilizes **Hydraulic Valve Clearance Compensation (HVA)**, commonly known as hydraulic lifters. These components use engine oil pressure to automatically maintain zero clearance between the camshaft lobe and the valve stem. 
**Technical Summary:**
*   **Adjustment Type:** Automatic (Hydraulic).
*   **Manual Adjustment:** Not required and not possible.
*   **Maintenance:** If you experience "valve ticking," it is typically due to a faulty HVA element, low oil pressure, or oil aeration rather than a need for manual adjustment.
*(Answer based on general technical knowledge of the M54 engine architecture, as the manual specifies hydraulic components for this engine series.)*</t>
  </si>
  <si>
    <t>Detectó la trampa. Sabe que son hidráulicos.</t>
  </si>
  <si>
    <t>La respuesta generada es precisa y completa, explicando correctamente que el M54 utiliza taqués hidráulicos que no requieren ajuste manual, coincidiendo con la respuesta real.</t>
  </si>
  <si>
    <t>Compare the bleeding procedure of the cooling system for the 4-cylinder vs 6-cylinder engines. Does the 6-cylinder require extra steps?</t>
  </si>
  <si>
    <t>Yes, M54 requires ignition ON (for aux pump) and heater set to max temp/low fan.</t>
  </si>
  <si>
    <t>Based on the BMW Workshop Manual, the bleeding procedure is largely identical for both engine types, but there are specific hardware differences to account for:
### **1. Number of Bleed Screws**
*   **6-Cylinder (M52TU / M54):** Typically requires managing **two** bleed screws. One is located on the expansion tank, and a second one is located on the upper radiator hose near the thermostat housing. Both must be opened until air-free coolant emerges.
*   **4-Cylinder (N42 / N46 / M43TU):** Usually only features **one** bleed screw on the expansion tank or the adjacent hose junction.
### **2. Common Bleeding Steps (Both Engines)**
According to the manual, the core process remains the same to ensure air is purged from the heater core and block:
1.  **Ignition ON:** Set the ignition to position 2 (do not start the engine).
2.  **Heater Settings:** Set the temperature to **MAX** and the fan speed to the **lowest setting**. This opens the heater valves and activates the auxiliary water pump (if equipped), which is essential for pushing air out of the heater matrix.
3.  **Filling:** Pour coolant into the expansion tank slowly until it flows out of the bleed screw(s) without bubbles.
4.  **Close &amp; Warm Up:** Tighten the bleed screws, fit the expansion tank cap, and run the engine until it reaches operating temperature to allow the thermostat to open.
### **3. Draining Difference (Note for Service)**
While not part of the bleeding itself, the manual notes a significant difference during the **draining** phase:
*   **N42/N46 4-cylinder engines** have **two** engine block drain plugs (one on the right and a second on the left-hand side).
*   **6-cylinder engines** only have **one** block drain plug (located on the right-hand side).
**Summary:** The 6-cylinder does not require "extra steps" in the process, but it does require monitoring a **second bleed point** on the upper radiator hose that many 4-cylinder models do not have. Always ensure the heater is set to MAX to engage the cooling system's internal valves.</t>
  </si>
  <si>
    <t>Razonamiento excelente. Explicó por qué (calefacción al máx, bomba aux) en lugar de solo listar pasos.</t>
  </si>
  <si>
    <t>The generated response provides detailed information about the bleeding procedure, including the specific requirement for the 6-cylinder engine to have the ignition ON and heater settings, which aligns with the Ground Truth.</t>
  </si>
  <si>
    <t>How many millimeters of "pre-load" must be applied to the driveshaft center bearing (propeller shaft) during installation?</t>
  </si>
  <si>
    <t>4 to 6 mm forward (towards front of car).</t>
  </si>
  <si>
    <t>According to the official BMW E46 Workshop Manual, the driveshaft (propeller shaft) center support bearing must be pre-loaded during installation as follows:
*   **Pre-load value:** **4 to 6 mm**
*   **Direction:** Towards the front of the vehicle.
**Procedure:**
1.  Loosen the center bearing bracket nuts.
2.  Slide the bracket forward to remove all free play.
3.  Move the bracket forward an additional **4 to 6 mm** to apply the pre-load.
4.  Hold the bracket in this position and tighten the retaining nuts to the specified torque.
*(Source: BMW E46 Workshop Manual - Section: Final drive, driveshafts and propeller shaft)*</t>
  </si>
  <si>
    <t>Dato numérico (4-6mm) recuperado perfectamente.</t>
  </si>
  <si>
    <t>La respuesta generada es precisa y contiene todos los datos técnicos exactos, incluyendo la dirección y el valor del pre-carga, sin información extraña.</t>
  </si>
  <si>
    <t>Does this manual cover the repair of the High-Pressure Fuel Pump (HPFP) for the diesel 320d model?</t>
  </si>
  <si>
    <t>NO. Manual only covers Petrol engines.</t>
  </si>
  <si>
    <t>Based on the official manual search, this specific documentation **does not cover** the repair of the High-Pressure Fuel Pump (HPFP) for the 320d diesel model.
The retrieved manual segments focus exclusively on **petrol engines**, including:
*   **4-cylinder petrol:** M43TU, N42, N46.
*   **6-cylinder petrol:** M52TU, M54.
The "Fuel and Exhaust Systems" sections (Chapter 4A/4B) in this manual version provide details for fuel injectors, rails, and regulators for these petrol variants but do not contain information regarding the M47 or M47TU diesel fuel systems.
**(Answer based on general knowledge, not verified in current manual context):**
For a 320d (E46), you would typically need a diesel-specific supplement or manual. The 320d uses either a Bosch VP44 injection pump (early M47 engines) or a Common Rail high-pressure pump (later M47TU engines). Repairs for these units usually require specialist diesel calibration equipment and are often treated as "replace-only" items in standard workshop manuals.</t>
  </si>
  <si>
    <t>Correcto. Identificó que el manual NO cubre Diesel.</t>
  </si>
  <si>
    <t>La respuesta generada es correcta y útil, pero incluye información adicional que no es necesaria para responder la pregunta.</t>
  </si>
  <si>
    <t>Expert</t>
  </si>
  <si>
    <t>According to the wiring diagrams, what is the color of the wire connected to Pin 1 of the Ignition Coil for Cylinder 1?</t>
  </si>
  <si>
    <t>(Requires looking at Wiring Diagram Section). Likely Green or Black/Green.</t>
  </si>
  <si>
    <t>Based on the standard wiring diagrams for the BMW E46 (M54/M52TU 6-cylinder engines), the wire connected to **Pin 1** of the ignition coil for **Cylinder 1** is:
*   **White/Green (WS/GN)**
**Circuit Details:**
*   **Pin 1:** Ignition signal (activation) from the DME.
*   **Pin 2:** Ground (usually Brown - BR).
*   **Pin 3:** B+ Power supply (usually Green/White - GN/WT or Red/White - RD/WT).
If the vehicle has the **M43TU (4-cylinder)** engine, the wire color for Pin 1 of Cylinder 1 is typically **Black/White (SW/WS)**.
*(Answer based on general knowledge and standard BMW Wiring Diagram System (WDS), as the provided manual snippets contained wire color keys but not the specific coil-to-DME diagram).*</t>
  </si>
  <si>
    <t>RAG Fallido. Admitió no encontrar el diagrama ("Answer based on general knowledge") y dio colores genéricos de BMW. No leyó el diagrama del PDF.</t>
  </si>
  <si>
    <t>La respuesta generada proporciona información detallada y plausible sobre los colores de los cables, pero no coincide exactamente con la respuesta real que sugiere verde o negro/verde. Además, incluye información adicional sobre otros pines y motores que no se solicitó.</t>
  </si>
  <si>
    <t>Locate the relay for the Secondary Air Pump. Where is it specifically located and what fuse number protects its circuit?</t>
  </si>
  <si>
    <t>Behind glovebox or in E-box (depending on year). Fuse typically F36 or similar.</t>
  </si>
  <si>
    <t>According to the manual and technical specifications for the BMW E46:
### **Relay Location**
The **Secondary Air Pump (SAP) Relay** is located inside the **E-Box** (Electronics Box), which is situated in the rear passenger-side corner of the engine compartment (under a plastic cover secured by four Allen or Torx bolts).
*   The relay is typically **Salmon Red** in color.
### **Fuse Location and Number**
The circuit is protected by a high-amperage fuse:
*   **Fuse Number:** **Fuse 107** (50 Amp).
*   **Location:** This is a "maxi-fuse" located **inside the E-Box**, housed in a separate fuse block (near the DME/Engine Control Module), rather than in the main fuse panel behind the glovebox.
*(Note: There may also be a smaller control circuit fuse, typically **Fuse 36** (50A) or related to engine electronics in the glovebox, but the primary power for the pump is at Fuse 107 in the E-box.)*</t>
  </si>
  <si>
    <t>Superó a la referencia. Localizó el Fusible 107 (50A) en la E-Box, que es el de potencia real, mejor que el F36 de control.</t>
  </si>
  <si>
    <t>La respuesta generada proporciona detalles adicionales y menciona un fusible incorrecto (Fuse 107) que no coincide con la respuesta real.</t>
  </si>
  <si>
    <t>Explain the removal of the starter motor on 6-cylinder models. Why is the top bolt considered difficult and what tool approach is suggested?</t>
  </si>
  <si>
    <t>Very hard access. Requires long extensions (approx 1 meter) from the transmission tunnel/rear.</t>
  </si>
  <si>
    <t>According to the BMW Workshop Manual, there are two primary methods for removing the starter motor on 6-cylinder (M52TU/M54) models. The difficulty of the top bolt is a well-known challenge in E46 maintenance.
### **Why the Top Bolt is Difficult**
The top mounting bolt is considered difficult because it is located in a "blind" position at the top of the transmission bellhousing, very close to the firewall and the transmission tunnel. 
*   **Limited Clearance:** There is insufficient space to fit a standard ratchet or your hand between the bolt head and the vehicle body.
*   **Visual Obstruction:** The bolt is completely hidden from view by the intake manifold from above and the transmission from below.
*   **Mounting Type:** Depending on the starter version, you may have a threaded starter flange (easier) or one that requires a nut to be counter-held on the engine side while the bolt is turned from the transmission side.
### **Suggested Tool Approaches**
The manual and professional practice suggest two main ways to reach this bolt:
**1. The "Long Extension" Method (From Underneath)**
This is the most common approach for mechanics who do not want to remove the intake manifold:
*   **Tooling:** A 3/8" or 1/2" drive ratchet, at least **24 to 36 inches of extensions**, a **universal joint (swivel)**, and an **E12 or E14 Torx socket** (depending on the year).
*   **Procedure:** You must lower the rear of the transmission slightly (about 5 cm) by loosening the transmission crossmember. You then feed the long chain of extensions from the rear of the transmission, over the top of the gearbox, until the socket seats on the starter bolt.
**2. The Intake Manifold Removal Method (From Above)**
The official manual notes that for the M54 engine, you can remove the entire inlet manifold. 
*   **Advantage:** Once the manifold is removed, the starter and both mounting bolts are fully visible and easily accessible with standard tools. 
*   **Trade-off:** This requires significantly more disassembly (fuel rail, vacuum lines, etc.) but eliminates the "blind" struggle and the risk of stripping the Torx bolt.
### **Summary of Steps (Manual Context)**
1.  **Disconnect Battery:** Essential, as the main positive lead at the starter is live and un-fused.
2.  **Clear Access:** Remove the air filter housing and intake boots (M52TU) or the intake manifold (M54 alternative).
3.  **Lower Transmission:** If working from below, support the transmission and lower it slightly to gain the necessary angle for the extensions.
4.  **Remove Bolts:** Use the long extension approach to break the Torx bolts free. 
5.  **Maneuver:** Pull the motor forward and downward, taking care not to damage fuel hoses or the wiring harness.</t>
  </si>
  <si>
    <t>Describió perfectamente el problema del "tornillo ciego" y las extensiones largas.</t>
  </si>
  <si>
    <t>La respuesta generada es detallada y precisa, proporcionando métodos y herramientas específicas para abordar el problema del perno superior, aunque incluye información adicional no presente en la respuesta real.</t>
  </si>
  <si>
    <t>For the N42 engine Valvetronic system, what happens if you install the magnetic wheel on the eccentric shaft with a standard steel screw instead of the anti-magnetic one?</t>
  </si>
  <si>
    <t>Malfunction/Damage. The screw must be non-magnetic to not interfere with the sensor.</t>
  </si>
  <si>
    <t>Based on the BMW E46 Workshop Manual and technical specifications for the N42 engine, you **must** use the specific anti-magnetic screw (non-ferrous) for the eccentric shaft magnetic wheel.
### Consequence of Using a Standard Steel Screw:
If a standard steel (ferromagnetic) screw is used, the following issues will occur:
1.  **Magnetic Field Distortion:** The magnetic rotor on the end of the eccentric shaft is highly sensitive. A standard steel screw will become magnetized by the rotor, distorting the magnetic field lines that the Eccentric Shaft Position Sensor relies on to determine the shaft's angle.
2.  **Plausibility Errors:** The sensor will transmit incorrect or "noisy" position data to the Valvetronic Control Unit (or DME). This usually results in **fault codes** related to "eccentric shaft sensor plausibility" or "signal out of range."
3.  **Limp Mode:** The Valvetronic system will likely fail its initialization/self-test upon startup or during operation. The engine will then enter **emergency (limp) mode**, where the Valvetronic motor drives the eccentric shaft to its maximum lift position, and engine load is controlled solely by the throttle butterfly (resulting in reduced power and throttle response).
**Manual Note:** The manual emphasizes that the rotor itself is very magnetic and should be kept clean of any metallic debris (swarf) for the same reason—any interference with the magnetic signature will cause system failure.</t>
  </si>
  <si>
    <t>Entendió la física del problema (interferencia magnética con el sensor Hall).</t>
  </si>
  <si>
    <t>The response is correct and useful, detailing the consequences of using a standard steel screw, but it includes redundant information not present in the Ground Truth.</t>
  </si>
  <si>
    <t>Context</t>
  </si>
  <si>
    <t>I have a rattling noise from the front of the engine on an M54. Based on the "Fault Finding" section and common issues described, what is the most likely Vanos-related cause?</t>
  </si>
  <si>
    <t>Vanos unit wear / seals. (Referencia a la sección de diagnóstico de ruido motor).</t>
  </si>
  <si>
    <t>Based on the provided manual excerpts and standard technical knowledge for the M54 engine, the most likely Vanos-related causes for a rattling noise from the front of the engine are:
1.  **Vanos Piston Axial Play (The "Vanos Rattle"):** This is caused by loose tolerances in the Vanos piston bearings and bushings. Over time, the splined shafts develop play, leading to a marble-like rattling sound, typically most audible between 1,800 and 2,200 RPM or at idle when the engine is warm.
2.  **Worn Vanos Seals:** While primarily responsible for power loss and erratic idle, hardened O-rings can allow the piston to vibrate more freely within the housing, contributing to mechanical noise.
3.  **Splined Shaft/Gear Wear:** The manual mentions the "splined shaft in the end of the camshafts." Wear in the interface between these shafts and the Vanos unit can result in mechanical clatter.
**Diagnostic Tip:** To confirm the noise is Vanos-related and not the **DISA valve** (which also rattles at the front/side of the intake), you can briefly unplug the Vanos solenoid connectors; if the rattle changes or disappears, the issue is internal to the Vanos unit.
*(Answer based on general knowledge, as the specific "Fault Finding" table for noises was not fully detailed in the manual search results).*</t>
  </si>
  <si>
    <t>8/10</t>
  </si>
  <si>
    <t>Respuesta correcta técnicamente, pero admitió que la tabla de "Fault Finding" no estaba detallada y usó conocimiento general.</t>
  </si>
  <si>
    <t>La respuesta generada es correcta y útil, pero incluye detalles adicionales que no son necesarios y no se mencionan en la respuesta real.</t>
  </si>
  <si>
    <t>Can the cylinder head be skimmed (machined) on the N42 engine? If so, what is the maximum material removal limit?</t>
  </si>
  <si>
    <t>Often NO. BMW specs for Valvetronic heads usually forbid machining due to geometry changes.</t>
  </si>
  <si>
    <t>According to the BMW E46 Workshop Manual, the cylinder head on the **N42 engine** can be machined (skimmed) if it is distorted, but it is subject to strict limits to maintain the correct geometry between the valves and the block.
### **Machining Limits and Requirements:**
*   **Maximum Material Removal:** The manual indicates that machining is permissible up to **0.3 mm**.
*   **Thicker Gasket Requirement:** If the cylinder head is machined by **0.3 mm**, you **must** fit a cylinder head gasket that is **0.3 mm thicker** than the standard gasket to maintain the correct compression ratio and valve-to-piston clearances.
*   **Minimum Height:** The head must not be reduced below its minimum specified height (typically **141.7 mm**, down from a standard height of **142.0 mm**).
### **Critical Considerations for N42:**
*   **Camshaft Bearing Castings:** On N42 and N46 engines, the manual emphasizes checking the camshaft bearing casting mating faces on the top of the cylinder head for distortion. If the distortion on these upper faces is outside limits, the manual states the **cylinder head and bearing castings must be renewed** (replaced) rather than repaired.
*   **Checking for Distortion:** Use a straight-edge and feeler blade across the gasket surface. If distortion is detected but falls within the 0.3 mm threshold, machining is an option.
**(Information sourced from the official BMW E46 Workshop Manual)**</t>
  </si>
  <si>
    <t>Respuesta de nivel experto. Identificó la condición (junta más gruesa) y la limitación crítica (no planificar si el soporte del árbol de levas está deformado).</t>
  </si>
  <si>
    <t>La respuesta generada proporciona detalles técnicos específicos que no están en la respuesta real, como límites de mecanizado y requisitos de juntas, lo cual es incorrecto según las especificaciones de BMW para cabezas Valvetronic.</t>
  </si>
  <si>
    <t>According to the provided manual, the specific numerical gap setting is not listed. Instead, the manual states that the gap should be set to the value given by the spark plug manufacturer. 
Additionally, the manual notes the following regarding spark plug gaps:
*   **Multi-electrode plugs:** The gap between the centre electrode and the earth electrodes cannot be adjusted.
*   **Single electrode plugs:** The gap must be measured with a wire or feeler gauge and adjusted by bending the outer plug electrode until the correct gap is achieved (the centre electrode should never be bent).
*   **Specified Plugs:** For all engines except N46, **Bosch FGR 7 DQP** plugs are specified; for N46 engines, **Bosch FR7KPP332** plugs are specified.</t>
  </si>
  <si>
    <t>Perfecta. No inventa el dato, dice que "consultes al fabricante" (correcto en el manual) y detalla tipos de electrodos.</t>
  </si>
  <si>
    <t>La respuesta generada no proporciona el valor específico del espacio de la bujía, que es 0.7 mm, y en su lugar da una respuesta genérica y no concluyente.</t>
  </si>
  <si>
    <t>The 16-pin OBD diagnostic socket is located under the facia on the driver's side, specifically above the pedals in the driver's footwell.</t>
  </si>
  <si>
    <t>Correcta y precisa.</t>
  </si>
  <si>
    <t>La respuesta generada es correcta y útil, pero añade información redundante sobre los pines y la ubicación exacta sobre los pedales.</t>
  </si>
  <si>
    <t>The opening temperature of the thermostat for the M43TU engine is 105°C. For the M54 engine, which is categorized as a 6-cylinder engine, the opening temperature is 97°C.</t>
  </si>
  <si>
    <t>Dato exacto recuperado (105°C vs 97°C).</t>
  </si>
  <si>
    <t>La respuesta generada es correcta y útil, contiene los datos técnicos exactos y añade una información adicional menor sobre el M54 que no afecta la precisión.</t>
  </si>
  <si>
    <t>To reset the Service Interval Indicator using the instrument cluster buttons (applicable to models with a diagnostic socket in the driver's footwell), follow these steps:
1. With the ignition switched off, press and hold the **trip reset button**.
2. Turn the ignition key to **position 1**.
3. After approximately 5 seconds, the words **"OIL SERVICE"** or **"INSPECTION"** will appear on the display along with the message **"reset"** or **"re"**.
4. Release the button, then press and hold it again until the message **"reset"** or **"re"** starts to flash.
5. Release the button and wait for the flashing sequence to stop.
6. Press and hold the button again for 5 seconds. The time-based Inspection will be displayed with the message **"reset"** or **"re"**.
7. Release the button, then press and hold it once more. After 5 seconds, the message **"reset"** or **"re"** will begin to flash.
8. Release the button, then press and release it again. The new service interval will now be displayed.
9. Press and release the button one final time. The message **"END SIA"** will be displayed.
10. Switch off the ignition.</t>
  </si>
  <si>
    <t>Procedimiento impecable, paso a paso.</t>
  </si>
  <si>
    <t>La respuesta generada es correcta y útil, pero incluye pasos adicionales que no son necesarios según la respuesta real, lo que la hace redundante.</t>
  </si>
  <si>
    <t>The minimum brake pad friction material thickness allowed before replacement is 2.0 mm for both front and rear brakes. For the handbrake, the shoe friction material minimum thickness is 1.5 mm.</t>
  </si>
  <si>
    <t>Muy bien. A diferencia de la Arch 1, aquí no confundió discos con pastillas. Dio el dato correcto (2.0mm pastilla, 1.5mm zapata).</t>
  </si>
  <si>
    <t>La respuesta generada es correcta y útil, pero incluye información adicional sobre el freno de mano que no se solicitó.</t>
  </si>
  <si>
    <t>To check the fluid level in the manual transmission, follow these steps:
1.  **Level the vehicle:** Ensure the car is level. If necessary, jack up the vehicle and support it on axle stands.
2.  **Remove the plug:** Unscrew the gearbox oil level/filler plug from the right-hand side of the gearbox casing.
3.  **Check the level:** The oil level should be up to the bottom of the level/filler plug hole.
4.  **Top-up (if required):** If the level is low, add the correct type of fluid through the filler/level plug hole until the oil overflows from the hole.
5.  **Secure the plug:** Wipe away any spilt oil, refit the filler/level plug (using a new sealing ring if required), and tighten it to the specified torque.
6.  **Lower the vehicle:** If the car was raised, lower it to the ground.</t>
  </si>
  <si>
    <t>La respuesta generada es correcta y útil, pero incluye pasos adicionales que no son necesarios para responder la pregunta específica sobre cómo verificar el nivel de fluido, como nivelar el vehículo y asegurar el tapón.</t>
  </si>
  <si>
    <t>For the N42 engine, the tightening torque and angles for the cylinder head bolts are as follows:
*   **Stage 1:** 30 Nm
*   **Stage 2:** Angle-tighten a further 90°
*   **Stage 3:** Angle-tighten a further 90°</t>
  </si>
  <si>
    <t>FALLO CRÍTICO REPETIDO. Vuelve a decir 90° en la Stage 3. Esto confirma que el error proviene de una mala interpretación del texto del PDF (quizás una tabla mal formateada) o de conocimiento externo que "contamina" al modelo. Peligroso.</t>
  </si>
  <si>
    <t>La respuesta generada es incorrecta en el ángulo de apriete del Stage 3, que debería ser +45° en lugar de +90°.</t>
  </si>
  <si>
    <t>The correct firing order for the 6-cylinder engines is 1-5-3-6-2-4.</t>
  </si>
  <si>
    <t>La respuesta generada es perfecta y coincide exactamente con la respuesta real.</t>
  </si>
  <si>
    <t>I cannot find information regarding a specific Automatic Transmission Fluid (ATF) for a transmission with a green label or tag in the provided manual. The manual states that for automatic transmissions, **BMW Life-time transmission oil** should be used and advises to **refer to your BMW dealer for brand name and type recommendations**.</t>
  </si>
  <si>
    <t>Mejor que Arch 1. En lugar de inventarse una marca (Texaco) que no sale en el PDF, admite honestamente: "I cannot find information... refer to dealer". Esto es lo que debe hacer un sistema RAG puro.</t>
  </si>
  <si>
    <t>La respuesta generada no proporciona el número de parte específico ni el tipo de ATF requerido, lo cual es un dato clave.</t>
  </si>
  <si>
    <t>For the rear suspension lower arm (control arm) to the subframe, the torque setting and crucial condition are as follows:
*   **Torque:** 77 Nm (57 lbf ft).
*   **Crucial Condition:** The pivot bolts must be tightened only when the vehicle is resting on its wheels. Before tightening, the car should be rocked to settle the disturbed components into position.</t>
  </si>
  <si>
    <t>Perfecto. 77Nm y la condición vital de "ruedas en el suelo".</t>
  </si>
  <si>
    <t>La respuesta generada proporciona un par de apriete incorrecto y un procedimiento adicional no mencionado en la respuesta real.</t>
  </si>
  <si>
    <t>The BMW M54 engine does not have a manual valve clearance adjustment specification for the intake or exhaust valves. According to the manual, the M54 engine is equipped with **hydraulic cam followers** fitted between the camshafts and the valves, which provide automatic valve clearance compensation. Therefore, the valve clearance is self-adjusting and does not require periodic maintenance or manual adjustment.</t>
  </si>
  <si>
    <t>Explica correctamente que son hidráulicos y no se ajustan.</t>
  </si>
  <si>
    <t>La respuesta generada es precisa y explica correctamente que el M54 utiliza taqués hidráulicos, lo que significa que no requiere ajuste manual de válvulas, coincidiendo con la respuesta real.</t>
  </si>
  <si>
    <t>According to the provided manual, the cooling system bleeding procedure is generally the same for both engine types, but there are specific differences in the components and steps involved:
*   **Bleed Screws:** Both procedures require slackening the bleed screw(s) before filling. The manual refers to multiple bleed screws ("slacken the bleed screw(s)") and notes that for 6-cylinder engines, there is a bleed screw on the thermostat housing in addition to the one on the radiator/expansion tank.
*   **Heater Settings:** For all models, the ignition must be turned on with the heater set to maximum temperature and the fan speed set to "low" to open the heating valves.
*   **Air Expulsion:** A specific step mentioned for all engines is to squeeze the radiator top and bottom hoses once the level in the expansion tank starts to rise to help expel trapped air.
*   **6-Cylinder Specifics:** While the core steps of filling and running the engine to operating temperature are consistent, the 6-cylinder engine (specifically the M54/M52TU) involves ensuring air is bled from the **thermostat housing bleed screw** as well as the radiator bleed screw. 
In summary, the 6-cylinder does not require "extra" procedural steps in terms of the sequence (ignition on, heater max, fill, squeeze hoses, run engine), but it does require the technician to manage **multiple bleed screws** (radiator and thermostat housing) compared to the 4-cylinder engines which may have fewer bleed points depending on the specific engine code (e.g., N42/N46). Additionally, for draining purposes only, the N42 and N46 4-cylinder engines have a **second engine block drain plug** on the left-hand side that the 6-cylinder does not.</t>
  </si>
  <si>
    <t>Muy buena síntesis. Detecta los múltiples sangradores del 6cil.</t>
  </si>
  <si>
    <t>The generated response is mostly accurate but includes additional details not present in the Ground Truth, such as bleed screws and air expulsion, which are not mentioned in the original answer.</t>
  </si>
  <si>
    <t>The propeller shaft center bearing (support bearing) must be pre-loaded by moving the bracket forward **4 to 6 mm** after all free play has been removed.</t>
  </si>
  <si>
    <t>Dato exacto (4-6mm).</t>
  </si>
  <si>
    <t>La respuesta generada es precisa y coincide con la respuesta real, proporcionando la misma medida de pre-carga de 4 a 6 mm hacia adelante.</t>
  </si>
  <si>
    <t>No, this manual does not cover the repair of the High-Pressure Fuel Pump (HPFP) for the diesel 320d model. The manual explicitly states that it does **NOT** cover diesel models, the 1.6 litre petrol engine, or Compact, Convertible, and M3 models. It is specifically intended for BMW 3-Series (E46) models with 4-cylinder and 6-cylinder petrol engines (316i, 318i, 320i, 323i, 325i, 328i, and 330i).</t>
  </si>
  <si>
    <t>Confirma que no cubre Diesel. Correcto.</t>
  </si>
  <si>
    <t>La respuesta generada es correcta y útil, pero incluye información adicional sobre otros modelos y motores que no era necesaria para responder la pregunta.</t>
  </si>
  <si>
    <t>Based on the provided manual, the specific wiring color for **Pin 1** of the **Ignition Coil for Cylinder 1** is not explicitly stated in the text descriptions or the provided wiring diagram snippets. The manual contains diagrams for various systems (e.g., Diagram 3 for the Instrument Cluster, Diagram 4 for Lighting, and Diagram 5 for Reversing Lights), but the detailed pin-to-wire color mapping for the ignition system in the Engine Management diagram is not present in the available context.
I cannot find that information in the provided manual.</t>
  </si>
  <si>
    <t>Honestidad Brutal. "I cannot find that information". La Arch 1 inventó colores; la Arch 2 admite que no puede leer el diagrama. Para un entorno profesional, esto es preferible a una alucinación.</t>
  </si>
  <si>
    <t>La respuesta generada indica que no se encuentra la información, lo cual es incorrecto ya que el color del cable es un dato clave que debería estar en el diagrama de cableado.</t>
  </si>
  <si>
    <t>The relay for the Secondary Air Pump is specifically located in the **E-box in the engine compartment**. The circuit for the pump is protected by fuse number **F36**, which has a rating of **50A**.</t>
  </si>
  <si>
    <t>Correcto. Ubica E-Box y Fuse 36 (Control), aunque omite el Fuse 107 (Potencia) que la Arch 1 sí encontró.</t>
  </si>
  <si>
    <t>La respuesta generada es correcta y útil, pero incluye un detalle adicional sobre el amperaje del fusible que no se menciona en la respuesta real.</t>
  </si>
  <si>
    <t>On 6-cylinder models (specifically M52TU and M54 engines), the removal of the starter motor involves the following process and tool approach:
### **Removal Process**
*   **Battery:** Disconnect the battery negative lead.
*   **Access Methods:** There are two primary methods for removal on M54 engines:
    1.  Remove the **inlet manifold** to access the motor from above.
    2.  Work from **under the vehicle**. This requires jacking up the front, removing the engine undershield and (on some models) the reinforcement plate.
*   **Transmission Lowering:** If removing the motor from under the vehicle on M54 models, the **transmission must be lowered approximately 5 cm**. This is achieved by supporting it with a trolley jack and removing the transmission crossmember.
*   **Preparation:** To improve access, unclip fuel hoses (M52TU) or remove components like the air filter housing, inlet hoses (M52TU), or the exhaust flap vacuum tank (M54).
*   **Wiring:** Disconnect the electrical wiring from the rear of the starter motor.
*   **Mounting Bolts:** Unscrew the mounting bolts from the **transmission bellhousing** side.
### **The "Difficult" Bolt and Tool Approach**
While the manual does not explicitly label one specific bolt as the "top bolt," it rates the starter motor removal on M54 6-cylinder models as **"Difficult"** (suitable for an experienced DIY mechanic). 
*   **Difficulty:** Accessing the mounting bolts is considered difficult due to their position on the transmission bellhousing, which is why the manual requires **lowering the transmission** on M54 models to create space.
*   **Suggested Tool Approach:** The manual specifies using a **socket, ratchet, and long extension** to reach and undo the mounting bolts from the transmission side. For 4-cylinder models (N42/N46), it specifically identifies these as **Torx bolts**, though for 6-cylinder models, it generally refers to them as "mounting bolts."</t>
  </si>
  <si>
    <t>Muy detallado. Menciona bajar la transmisión 5cm (dato clave del manual).</t>
  </si>
  <si>
    <t>La respuesta generada es correcta y útil, pero incluye detalles adicionales que no son necesarios y omite la especificidad de la longitud de las extensiones requeridas.</t>
  </si>
  <si>
    <t>The provided manual specifies that when installing the magnetic rotor on the end of the eccentric shaft for the N42 engine, you must use an **"anti-magnetic" screw** and tighten it to a torque of **8 Nm** (Section 10, paragraph 20).
The manual emphasizes the importance of magnetism in this assembly, noting that the rotor itself is "very magnetic" and must be placed in a plastic bag during removal to **prevent any magnetic swarf from attaching to it** (Section 10, paragraph 9).
While the manual does not explicitly describe the specific functional failure that occurs if a standard steel screw is used, it mandates the anti-magnetic version to ensure the integrity of the magnetic component and its interaction with the eccentric shaft position sensor.</t>
  </si>
  <si>
    <t>7/10</t>
  </si>
  <si>
    <t>Correcto. Menciona el par (8Nm) y la bolsa de plástico (detalle curioso del manual). No explica el "porqué" físico tan bien como la Arch 1, pero se ciñe al texto.</t>
  </si>
  <si>
    <t>La respuesta generada es correcta y útil, pero incluye detalles adicionales que no son necesarios para responder la pregunta específica sobre el uso de un tornillo anti-magnético. Sin embargo, omite mencionar directamente el mal funcionamiento o daño que puede ocurrir, que es el punto clave de la respuesta real.</t>
  </si>
  <si>
    <t>Based on the **Fault Finding** section and engine descriptions provided in the manual, a rattling or tapping noise from the front of the engine is most likely attributed to **worn valve gear or camshaft** (Chapter 2). 
While the manual describes the **VANOS adjustment unit** in detail (Section 9), it notes that testing its operation requires special equipment and should be entrusted to a BMW dealer. In the specific context of the **VANOS** system on the M54 engine, the manual warns against moving the **splined shafts** in the ends of the camshafts when the unit is removed, as this could cause the pistons to contact the valves. However, for general diagnostic purposes under the "Engine noises" category, the most likely related cause listed for rattling is **worn valve gear**.</t>
  </si>
  <si>
    <t>4/10</t>
  </si>
  <si>
    <t>Pobre. Se limitó a decir "Worn valve gear" (genérico). No conectó el ruido con el Vanos explícitamente porque el texto del manual no lo vincula directamente en la sección de diagnóstico básico. Arch 1 usó conocimiento externo para acertar aquí; Arch 2 falló por ser demasiado literal.</t>
  </si>
  <si>
    <t>La respuesta generada no menciona el desgaste de la unidad Vanos o los sellos, que es la causa más probable según el manual, y se enfoca incorrectamente en el desgaste del engranaje de válvulas.</t>
  </si>
  <si>
    <t>Yes, the cylinder head on the N42 engine can be machined. According to the specifications, the maximum material removal limit is **0.30 mm**. 
The specific measurements are as follows:
*   **New cylinder head height:** 143.30 mm
*   **Minimum cylinder head height after machining:** 143.00 mm
*   **Maximum gasket face distortion:** 0.050 mm</t>
  </si>
  <si>
    <t>2/10</t>
  </si>
  <si>
    <t>ALUCINACIÓN PELIGROSA. Dice: "Yes... max removal 0.30 mm". Esto contradice la recomendación general de BMW para Valvetronic (a menudo NO se permite o requiere suplementos especiales). Aunque cita medidas (143.30mm), da luz verde a una operación arriesgada sin las advertencias de "solo si no está deformado el soporte del árbol" que sí dio la Arch 1.</t>
  </si>
  <si>
    <t>La respuesta generada es incorrecta, ya que afirma que se puede maquinar el cabezal del cilindro del motor N42, mientras que la respuesta real indica que generalmente no se permite debido a cambios en la geometría. Además, proporciona un límite de remoción de material que no está respaldado por la respuesta real.</t>
  </si>
  <si>
    <t>According to the technical data found in the Maintenance (Section 020) and Ignition System (Section 120) chapters of the BMW E46 Workshop Manual, the spark plug gap settings are determined by the engine type and the specific plug design installed.
For the M43 4-cylinder engine and the M52 TU and M54 6-cylinder engines using standard spark plugs, the electrode gap is specified as 0.7 mm (0.027 in) with a tolerance of plus 0.1 mm.
The manual notes that for the majority of E46 production models equipped with High Power ignition systems, multi-electrode spark plugs are utilized. Specifically, for the NGK BKR6EQUP and Bosch FGR7DQP four-electrode plugs, the gap is pre-set by the manufacturer and is classified as non-adjustable. The manual explicitly states that these electrodes must not be bent or adjusted.
For the S54 engine in the M3 model, the specified NGK DCPR8EKP dual-electrode spark plugs also feature a fixed gap. The manual specifies that these plugs are pre-set and no manual adjustment of the gap is permitted during service.</t>
  </si>
  <si>
    <t>Perfecto. Distingue entre M43 (0.7mm) y modelos High Power (No ajustable). Mucho más completo que Arch 1/2.</t>
  </si>
  <si>
    <t>La respuesta generada es correcta y útil, pero incluye información adicional sobre diferentes tipos de bujías y motores que no era necesaria para responder la pregunta específica sobre el ajuste del espacio de las bujías.</t>
  </si>
  <si>
    <t>In the BMW E46, the 16-pin On-Board Diagnostic (OBD II) socket is located in the driver side footwell. It is positioned on the lower left section of the dashboard trim panel, near the hood release lever and the A-pillar.
The socket is protected by a plastic cover that must be flipped down or removed to access the diagnostic port. This interior location is standard for all E46 models to comply with OBD II requirements for emissions-related data access.
Note that on vehicles manufactured before September 2000, a secondary 20-pin round diagnostic connector is also located in the engine compartment on the passenger side strut tower. In these earlier models, the interior 16-pin socket is typically limited to engine and emissions diagnostics, while the 20-pin engine bay connector is used for comprehensive vehicle system access. On vehicles produced from September 2000 onwards, the engine bay connector was removed, and all diagnostic functions are performed through the interior 16-pin socket.</t>
  </si>
  <si>
    <t>Impecable. Añade el contexto histórico del conector de 20 pines (pre-2000) vs 16 pines.</t>
  </si>
  <si>
    <t>La respuesta generada es correcta y útil, proporcionando detalles adicionales sobre la ubicación y el acceso al conector OBD, así como información sobre modelos anteriores. Sin embargo, incluye información extra que no era necesaria para responder la pregunta específica.</t>
  </si>
  <si>
    <t>According to the technical specifications in the BMW E46 Workshop Manual for the cooling system and general engine data, the thermostat opening temperatures differ between the 4-cylinder and 6-cylinder powerplants.
For the M43TU 4-cylinder engine, the characteristic-map thermostat has a mechanical opening temperature of 105 degrees Celsius (221 degrees Fahrenheit). This high baseline temperature is maintained for improved thermal efficiency during part-load operation, though the engine management system (DME) can lower this temperature by activating an internal heating element during high-load scenarios.
For the M54 6-cylinder engine, the characteristic-map thermostat is specified to begin opening at 97 degrees Celsius (206.6 degrees Fahrenheit). Like the M43TU, this thermostat is electrically heated and controlled by the DME to vary the coolant temperature based on driving conditions, but the base mechanical setting is lower than that of the 4-cylinder unit.</t>
  </si>
  <si>
    <t>Datos exactos (105°C vs 97°C) y explicación del funcionamiento "map-controlled".</t>
  </si>
  <si>
    <t>La respuesta generada es precisa y proporciona los datos técnicos exactos de las temperaturas de apertura del termostato para ambos motores, además de información adicional sobre el funcionamiento del termostato, que es relevante y no redundante.</t>
  </si>
  <si>
    <t>Ensure the ignition key is in the OFF position. Press and hold the left instrument cluster button, which serves as the trip odometer reset button. While holding the button depressed, turn the ignition key to position 1 (Accessory).
Continue to hold the button for approximately 5 seconds until the display shows the message OIL SERVICE or INSPECTION along with the remaining distance and the word RESET or RE. Once this message appears, release the button.
Immediately press and hold the button again for approximately 5 seconds until the message RESET or RE begins to flash in the display. Release the button while the text is flashing.
While the display is still flashing, press the button briefly one more time. The display will show the new service interval distance, such as 25000 km or 15525 miles, to indicate the reset is successful.
If the brake fluid renewal indicator (represented by a clock symbol) also requires a reset, the clock symbol will appear on the display after the service interval reset is confirmed. To reset the brake fluid interval, repeat the press and hold sequence until RESET flashes, then press the button briefly.
The display will show END SIA to confirm the procedure is complete. Turn the ignition key to the OFF position.</t>
  </si>
  <si>
    <t>Procedimiento secuencial perfecto. Menciona también el reset de líquido de frenos (reloj).</t>
  </si>
  <si>
    <t>La respuesta generada es correcta y útil, pero incluye detalles adicionales que no son necesarios para el procedimiento básico, como el reseteo del indicador de líquido de frenos.</t>
  </si>
  <si>
    <t>The minimum brake pad lining thickness for the BMW E46 is 3.0 mm (0.118 in.).
This specification refers strictly to the friction material and does not include the thickness of the metal backing plate. This wear limit is standardized across the entire E46 platform, including all 4-cylinder variants and 6-cylinder variants such as the 323i, 325i, 328i, 330i, and M3.
Technical data in the maintenance and braking system sections indicates that pads must be replaced once this 3.0 mm threshold is reached. The electronic wear sensors, located on the front left and rear right inboard pads, are designed to complete a circuit and trigger the dashboard warning lamp when the lining wears down to approximately this thickness.
While some inspection specifications may note an absolute minimum of 2.0 mm for immediate safety failure, the official BMW workshop manual service limit for replacement is 3.0 mm to ensure braking performance and heat dissipation remain within operational parameters until the next service interval.</t>
  </si>
  <si>
    <t>Pequeña Alucinación/Confusión. Dice 3.0mm como límite de reemplazo (warning) y menciona 2.0mm como límite absoluto. El manual suele decir 2.0mm. Es una respuesta "segura" pero técnicamente debatible frente al dato puro.</t>
  </si>
  <si>
    <t>La respuesta generada proporciona un valor incorrecto de 3.0 mm en lugar del valor correcto de 2.0 mm, lo que es un error crítico.</t>
  </si>
  <si>
    <t>To check the fluid level in the BMW E46 manual transmission, the vehicle must be positioned on a level surface or a level workshop hoist. If the vehicle is supported by jack stands, ensure the car is perfectly horizontal to get an accurate reading.
Begin by cleaning the area around the oil filler plug to prevent contaminants from entering the transmission. The filler plug is located on the side of the transmission housing. Use the appropriate tool to unscrew and remove the filler plug.
The transmission fluid level is correct when the oil reaches the lower edge of the filler opening. You can verify this by inserting a finger into the hole or observing if a small amount of oil begins to weep out. If the level is low, add the specified transmission fluid through the filler hole until it starts to overflow. Allow any excess oil to drain until it stops dripping before replacing the plug.
Before reinstalling the plug, ensure the sealing surface is clean. Tightening torques vary based on the plug size. For a transmission with an M18 screw plug, tighten to 25 Nm. For a transmission with an M24 screw plug, tighten to 50 Nm. 
Note that most E46 manual transmissions are factory-filled with lifetime oil, indicated by a label on the transmission housing near the filler plug. Always verify the required oil type, such as MTF-LT-1, MTF-LT-2, or specialized labeled fluids, before topping up or replacing the fluid.</t>
  </si>
  <si>
    <t>Correcto. Añade pares de apriete (M18/M24) que las otras arquitecturas ignoraron.</t>
  </si>
  <si>
    <t>La respuesta generada es correcta y útil, proporcionando detalles adicionales sobre el proceso, como la limpieza del área y los pares de apriete, pero incluye información redundante sobre el tipo de aceite y la etiqueta de 'lifetime oil', que no es necesaria para la pregunta específica.</t>
  </si>
  <si>
    <t>BMW N42 Engine Cylinder Head Bolt Tightening Specifications
Stage 1: 30 Nm
Stage 2: 90 degrees
Stage 3: 90 degrees
All cylinder head bolts must be replaced with new parts after loosening. The threaded holes in the engine block must be cleaned and dried thoroughly; any residual oil or coolant in the holes can result in a cracked engine block due to hydraulic pressure during the tightening process. Always follow the specified tightening sequence starting from the middle and moving outwards.</t>
  </si>
  <si>
    <t>¡LA PRUEBA DE FUEGO SUPERADA! Es la ÚNICA arquitectura que ha dado los datos 100% correctos y desambiguados para el N42 (30Nm, 90°, 90°). Nota: El manual N42 real suele ser 30Nm+90+45, pero si el PDF dice 90+90, la IA ha leído el PDF perfectamente y no ha alucinado externamente.</t>
  </si>
  <si>
    <t>La respuesta generada es incorrecta en el ángulo de apriete del Stage 3, que debería ser +45° en lugar de +90°. Además, aunque proporciona información útil sobre el procedimiento, incluye detalles adicionales no solicitados.</t>
  </si>
  <si>
    <t>The firing order for all BMW E46 6-cylinder engines, including the M52TU, M54, and S54 powerplants, is 1-5-3-6-2-4.
This specification is documented in the General Data and Engine sections of the workshop manual under the technical data tables for the ignition system and engine mechanicals.
Cylinder numbering follows the standard BMW configuration, starting with cylinder 1 at the front of the engine (nearest the radiator/timing chain) and ending with cylinder 6 at the rear of the engine (nearest the firewall/flywheel).
Firing order: 1-5-3-6-2-4.</t>
  </si>
  <si>
    <t>Correcto y añade la ubicación de los cilindros.</t>
  </si>
  <si>
    <t>La respuesta es perfecta, contiene el orden de encendido correcto y detalles adicionales útiles sin información extraña.</t>
  </si>
  <si>
    <t>The specific Automatic Transmission Fluid required for a transmission with a green label or tag is Esso LT 71141.
This fluid is classified as a lifetime oil and is primarily specified for the ZF A5S 325Z transmission used in various BMW E46 models. The workshop manual indicates that for any transmission identified with a green label on the transmission oil pan, this specific synthetic fluid must be used. It is strictly prohibited to mix this fluid with Dexron III or other ATF types.
For GM-sourced transmissions such as the A5S 390R that may also feature a green label in certain production years, the manual specifies Texaco ETL 7045E or Texaco ETL 8072B. However, the standard technical data reference for a green tag across the E46 service literature identifies Esso LT 71141 as the primary lubricant.
The BMW part number for the Esso LT 71141 fluid is 83 22 9 407 807. For GM units requiring Texaco ETL 7045E, the BMW part number is 83 22 0 026 922. Always confirm the transmission manufacturer on the identification plate to ensure the correct specification between the ZF and GM requirements.</t>
  </si>
  <si>
    <t>Brutal. Identifica Esso LT 71141 para ZF y las opciones de Texaco para GM. Nivel experto.</t>
  </si>
  <si>
    <t>La respuesta generada es correcta y útil, proporcionando el número de pieza de BMW y el tipo de fluido correcto, pero incluye información adicional sobre transmisiones GM que no es necesaria para la pregunta específica.</t>
  </si>
  <si>
    <t>The tightening torque for the lower control arm (wishbone) to the rear subframe (rear axle carrier) is 77 Nm.
The crucial condition for tightening this connection is that the bolt and nut must be tightened only when the vehicle is in the normal position (also referred to as the design position or curb weight position). The suspension must be compressed to its resting ride height before final torquing to ensure the rubber bushings are not pre-loaded or distorted, which prevents premature wear and failure of the mounts.</t>
  </si>
  <si>
    <t>77Nm y "Normal Position". Perfecto.</t>
  </si>
  <si>
    <t>La respuesta generada proporciona un par de apriete incorrecto (77 Nm en lugar de 110 Nm) y omite el detalle de que el coche debe estar en posición de altura de marcha normal sobre las ruedas.</t>
  </si>
  <si>
    <t>The BMW M54 engine is equipped with hydraulic valve lifters, which are also referred to as hydraulic valve clearance compensation or HVA elements. These components utilize engine oil pressure to automatically maintain zero valve lash during all engine operating conditions.
Because the valve train is self-adjusting, there is no manual valve clearance adjustment specification for the intake valves on the M54 engine. The E46 Workshop Manual does not list a clearance range or adjustment procedure for this engine because the hydraulic lifters negate the requirement for periodic maintenance or mechanical shimming.
This maintenance-free design applies to all M54 engine displacements used in the E46 chassis, including the 2.2L, 2.5L, and 3.0L variants. This distinguishes the M54 from the S54 engine found in the M3, which requires manual shim adjustments. For the M54, the intake valve clearance is effectively zero and is managed entirely by the hydraulic system.</t>
  </si>
  <si>
    <t>Explica detalladamente los taqués hidráulicos (HVA).</t>
  </si>
  <si>
    <t>La respuesta es correcta y útil, explicando adecuadamente el funcionamiento de los taqués hidráulicos y la ausencia de necesidad de ajuste, aunque es algo redundante.</t>
  </si>
  <si>
    <t>The cooling system bleeding procedure for the BMW E46 is similar for both 4-cylinder and 6-cylinder engines but contains specific variations in bleed screw quantity and location.
For both 4-cylinder (M43TU, N42) and 6-cylinder (M52TU, M54, M56) engines, the initial setup is the same. The ignition must be turned to position 2 without starting the engine. The heater temperature must be set to the maximum position and the blower fan set to the lowest speed. This opens the heater valves and activates the auxiliary water pump to move coolant through the heater core.
For 4-cylinder engines, there is typically one bleed screw located on the upper radiator hose. The expansion tank is filled slowly until coolant emerges from the bleed screw without air bubbles. The screw is then tightened to 2.5 Nm for plastic screws or 8 Nm for metal equivalents if applicable.
For standard 6-cylinder engines (M52TU, M54, M56), the bleed screw is located on the expansion tank or the upper radiator hose connector. The expansion tank is filled until bubble-free coolant flows from the screw.
The 6-cylinder engine requires extra steps when dealing with high-performance variants, specifically the S54 engine in the M3. Unlike the 4-cylinder engines, the S54 6-cylinder engine features two bleeding points instead of one. One bleed screw is located on the expansion tank, and a second extra bleed screw is located on the thermostat housing. Both must be opened simultaneously during the filling process to ensure air is removed from the engine block and head.
Additionally, for 6-cylinder engines, the manual specifies a specific fill-and-drain adjustment. The expansion tank should be filled to the top of the filler neck during the bleeding process. After the air is purged, the screws are closed, and the engine has been run to operating temperature and allowed to cool completely, the excess coolant must be adjusted back to the Kalt or Cold mark. This adjustment is more critical on the 6-cylinder models to account for the larger volume of coolant expansion.
Both engine types require a final check of the coolant level only after the engine has returned to a cold state to ensure the float needle is at the correct height relative to the filler neck.</t>
  </si>
  <si>
    <t>Gran síntesis. Menciona la diferencia crítica del S54 (M3) con dos purgadores, algo que las otras pasaron por alto.</t>
  </si>
  <si>
    <t>The generated response provides a detailed comparison but includes unnecessary details about the S54 engine, which is not part of the original question.</t>
  </si>
  <si>
    <t>According to the BMW E46 Workshop Manual, specifically in the repair instructions for the removal and installation of the propeller shaft (Section 26 11 000), the center bearing must be pre-loaded during the installation process.
The center bearing must be pushed forward in the direction of travel before the mounting nuts are tightened to the body. The required pre-load value is 4 to 6 mm.
This specification applies to the entire E46 range, including 4-cylinder and 6-cylinder models, to ensure the rubber mounting is properly tensioned to accommodate longitudinal drivetrain movement.</t>
  </si>
  <si>
    <t>La respuesta generada es precisa y contiene todos los datos técnicos exactos, incluyendo el pre-load de 4 a 6 mm hacia adelante, sin información extraña.</t>
  </si>
  <si>
    <t>The manual does not cover the 320d model or its diesel engine components. The documentation is restricted to gasoline-powered models produced for the North American market, including the 323i, 325i, 325xi, 328i, 330i, 330xi, and M3.
As a result, the manual does not provide repair procedures, removal and installation instructions, or technical specifications for the diesel High-Pressure Fuel Pump (HPFP) used in the M47 or M47TU engines.
All fuel system sections within this manual are dedicated to gasoline fuel injection systems, specifically the Siemens MS 42.0, MS 43.0, MS 45.1, and Bosch ME 7.2 engine management systems. There is no data regarding common rail diesel injection or high-pressure diesel delivery components.</t>
  </si>
  <si>
    <t>Confirma que el manual es solo gasolina (US/Petrol market). Correcto.</t>
  </si>
  <si>
    <t>La respuesta generada es correcta y útil, pero incluye información adicional que no era necesaria para responder la pregunta.</t>
  </si>
  <si>
    <t>According to the wiring diagrams for the BMW E46, the color of the wire connected to Pin 1 of the Ignition Coil for Cylinder 1 is White and Green.
In the technical documentation and German wiring schematics (BMW WDS), this is abbreviated as WS/GN (Weiss/Grun).
Pin 1 on the ignition coil connector serves as the primary ignition signal wire received from the Digital Motor Electronics (DME) control unit. For Cylinder 1, this wire facilitates the pulse signal from the DME to the coil to initiate the spark.
While Pin 1 is the control signal (White/Green), Pin 2 is typically the ground wire (Brown, or BR) and Pin 3 is the voltage supply wire (Red/White, or RT/WS) connected to terminal 15 via the integrated engine fuse block. This wiring configuration is consistent across the M54 six-cylinder and N42/N46 four-cylinder engines equipped with individual coil-on-plug ignition systems.</t>
  </si>
  <si>
    <t>Alucinación Parcial. Dice "White/Green". La Arch 1 dijo "Green/White" o "Black". Sin ver el diagrama, es difícil saber quién miente, pero al citar "German wiring schematics (BMW WDS)" está usando conocimiento externo para rellenar el hueco del PDF ilegible.</t>
  </si>
  <si>
    <t>The response provides detailed and accurate information about the wire color and additional context, but the color differs from the likely options in the Ground Truth.</t>
  </si>
  <si>
    <t>The secondary air pump relay is designated as K6304. It is located inside the electronics box, known as the E-box, which is situated at the rear right of the engine compartment near the firewall. The relay is typically identified by its salmon-pink or orange housing.
The primary power circuit for the secondary air pump is protected by fuse F107. This is a high-current 50-amp fuse. It is located in the power distribution center behind the glove compartment, specifically housed in a fuse block situated behind the main fuse panel.
Additionally, the control side of the relay circuit is protected by fuse F01. This is a 30-amp fuse located in the five-terminal fuse pack inside the electronics box (E-box) in the engine compartment. This fuse is shared with other engine management components depending on the specific engine variant, such as the M54 or M56.</t>
  </si>
  <si>
    <t>Ubicación precisa (E-box) y fusibles (F107 potencia, F01 control). Muy superior a las otras.</t>
  </si>
  <si>
    <t>La respuesta generada proporciona detalles adicionales y específicos sobre la ubicación del relé y los fusibles, pero menciona fusibles diferentes a los indicados en la respuesta real.</t>
  </si>
  <si>
    <t>The removal of the starter motor on 6-cylinder models (M52 TU and M54 engines) involves accessing the unit from the intake side of the engine where it is bolted to the transmission bellhousing. The process requires disconnecting the battery negative cable and removing the air cleaner assembly and intake air ducting. In many service scenarios, the intake manifold is removed to gain better visibility and access, although the starter can be reached from beneath the vehicle after removing the transmission reinforcement plate and potentially lowering the rear of the transmission slightly.
The top mounting bolt is considered difficult because of the extremely limited clearance between the top of the transmission bellhousing and the vehicle bulkhead or firewall. This space is too narrow to allow for a standard ratchet or wrench to be positioned or turned. Furthermore, the bolt is often obscured by the heater core hoses and the engine wiring harness, making it nearly impossible to see or reach by hand from the engine compartment.
The suggested tool approach to overcome this lack of space is the use of a series of long drive extensions, typically totaling between 24 and 36 inches in length. This long extension assembly is fitted with a universal joint (swivel) and an E-Torx socket. The tool is fed from the rear of the transmission, sliding forward over the top of the gearbox housing until it reaches the starter bolt. This allows the technician to rotate the bolt from a position near the transmission output flange where there is more room to operate a ratchet or breaker bar. It is often recommended to have an assistant guide the socket onto the bolt head from above while the primary technician handles the extensions from below.</t>
  </si>
  <si>
    <t>Describe la dificultad y la herramienta exacta (extensiones largas + cardan).</t>
  </si>
  <si>
    <t>The generated response provides a detailed explanation of the removal process and the difficulty of the top bolt, including the use of long extensions, which aligns with the Ground Truth. However, it includes additional steps and details not mentioned in the Ground Truth.</t>
  </si>
  <si>
    <t>According to the BMW workshop manual and technical documentation for the N42 engine, the magnetic wheel located at the end of the eccentric shaft must be secured using a specific non-magnetic (anti-magnetic) screw.
If a standard steel screw is installed in place of the anti-magnetic version, the steel screw will disrupt the magnetic field generated by the magnetic wheel. This interference directly affects the Hall effect sensor within the eccentric shaft sensor unit, preventing it from accurately determining the angular position of the eccentric shaft.
The resulting signal corruption causes the Digital Motor Electronics (DME) to identify a plausibility fault between the target and actual positions of the Valvetronic system. This leads to the immediate activation of the Valvetronic emergency program.
In the emergency program, the Valvetronic servomotor drives the eccentric shaft to the maximum lift position. The engine then reverts to traditional load control via the throttle butterfly rather than variable valve lift. This state is accompanied by a stored fault code in the DME and the illumination of the engine malfunction or EML warning light on the instrument cluster.</t>
  </si>
  <si>
    <t>Explicación técnica perfecta del fallo por interferencia magnética.</t>
  </si>
  <si>
    <t>The response is correct and provides a detailed explanation of the consequences, but includes some redundant information.</t>
  </si>
  <si>
    <t>Based on the Fault Finding and Variable Valve Timing sections of the BMW E46 Workshop Manual for the M54 engine, the most likely Vanos-related cause for a rattling noise emanating from the front of the engine is excessive axial play in the Vanos piston bearings.
The manual describes this symptom specifically as a mechanical rattle or clatter that occurs when the tolerances within the Double Vanos unit's internal piston bearings exceed factory specifications. This play allows the helical gears that drive the camshafts to vibrate against the camshaft splines, creating a metallic rattling sound that is typically most audible between 1500 RPM and 2200 RPM or during engine deceleration.
According to the diagnostic procedures in the Variable Valve Timing chapter, while Vanos seals are associated with performance loss and idling faults, the specific auditory symptom of rattling is attributed to the mechanical wear of the piston bearings. The manual indicates that the Vanos unit is designed as a sealed assembly for these specific internal components, and the official technical remedy for internal axial play and the resulting rattle is the replacement of the complete Double Vanos unit.</t>
  </si>
  <si>
    <t>Diagnóstico correcto (Vanos piston bearings) y rango de RPM. Conectó la sección de síntomas con la de reparación.</t>
  </si>
  <si>
    <t>La respuesta generada es detallada y técnica, pero se desvía de la causa más común mencionada en el manual, que es el desgaste de la unidad Vanos o los sellos. Se enfoca en un problema menos común, lo que la hace parcialmente correcta.</t>
  </si>
  <si>
    <t>The BMW E46 Workshop Manual specifies that machining or skimming the cylinder head on the N42 engine is not permitted.
The standard height for a new N42 cylinder head is 134.0 mm with a manufacturing tolerance of plus or minus 0.1 mm.
Unlike the M54 six-cylinder or M43 four-cylinder engines which allow for a machining limit of 0.3 mm, the technical data for the N42 engine explicitly states that the cylinder head contact surface must not be machined. The maximum material removal limit is 0.0 mm.
If the cylinder head contact surface shows signs of warping, the maximum permissible distortion (flatness) is 0.05 mm. If the distortion exceeds this value, the manual requires the complete replacement of the cylinder head. Machining the head is forbidden because it would alter the distance between the crankshaft and the camshafts, which negatively impacts the timing chain tensioning and the operation of the Valvetronic gear assembly.</t>
  </si>
  <si>
    <t>Contradicción. Dice "Not Permitted (0.0mm)" pero luego menciona "Tolerance". En realidad, el N42 sí admite planificado (0.3mm) con junta especial. Aquí la Arch 3 fue demasiado conservadora o leyó una advertencia de "si está muy mal, cambiar". La Arch 1 fue más precisa aquí.</t>
  </si>
  <si>
    <t>La respuesta generada es precisa y proporciona detalles adicionales útiles sobre las especificaciones del motor N42, incluyendo la altura estándar y la tolerancia de fabricación, así como las razones técnicas para no permitir el mecanizado.</t>
  </si>
  <si>
    <t>Response</t>
  </si>
  <si>
    <t>Time</t>
  </si>
  <si>
    <t>Time_seconds</t>
  </si>
  <si>
    <t>Input_Tokens</t>
  </si>
  <si>
    <t>Input_Tokens_PDF</t>
  </si>
  <si>
    <t>Output_Tokens</t>
  </si>
  <si>
    <t>Cost_Gemini-3_0-Flash</t>
  </si>
  <si>
    <t>Question_score_(0/10)</t>
  </si>
  <si>
    <t>Context_Found_(Sí/No)</t>
  </si>
  <si>
    <t>Hallucination</t>
  </si>
  <si>
    <t>Question_score_Judge(0/10)</t>
  </si>
  <si>
    <t>Judge_Reasoning</t>
  </si>
  <si>
    <t>Chunks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</si>
</sst>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
  </numFmts>
  <fonts count="2" x14ac:knownFonts="1">
    <font>
      <sz val="10"/>
      <color rgb="FF000000"/>
      <name val="Arial"/>
      <scheme val="minor"/>
    </font>
    <font>
      <b/>
      <sz val="10"/>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16">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4" defaultTableStyle="TableStyleMedium9" defaultPivotStyle="PivotStyleLight16">
    <tableStyle name="Arch1-style" pivot="0" count="4" xr9:uid="{00000000-0011-0000-FFFF-FFFF00000000}">
      <tableStyleElement type="wholeTable" size="0" dxfId="15"/>
      <tableStyleElement type="headerRow" dxfId="14"/>
      <tableStyleElement type="firstRowStripe" dxfId="13"/>
      <tableStyleElement type="secondRowStripe" dxfId="12"/>
    </tableStyle>
    <tableStyle name="Arch2-style" pivot="0" count="4" xr9:uid="{00000000-0011-0000-FFFF-FFFF01000000}">
      <tableStyleElement type="wholeTable" size="0" dxfId="11"/>
      <tableStyleElement type="headerRow" dxfId="10"/>
      <tableStyleElement type="firstRowStripe" dxfId="9"/>
      <tableStyleElement type="secondRowStripe" dxfId="8"/>
    </tableStyle>
    <tableStyle name="Arch3-style" pivot="0" count="4" xr9:uid="{00000000-0011-0000-FFFF-FFFF02000000}">
      <tableStyleElement type="wholeTable" size="0" dxfId="7"/>
      <tableStyleElement type="headerRow" dxfId="6"/>
      <tableStyleElement type="firstRowStripe" dxfId="5"/>
      <tableStyleElement type="secondRowStripe" dxfId="4"/>
    </tableStyle>
    <tableStyle name="Costes_Tokens-style" pivot="0" count="4" xr9:uid="{00000000-0011-0000-FFFF-FFFF03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1"/>
  <sheetViews>
    <sheetView workbookViewId="0">
      <selection activeCell="F19" sqref="F19"/>
    </sheetView>
  </sheetViews>
  <sheetFormatPr defaultRowHeight="12.75" x14ac:dyDescent="0.2"/>
  <cols>
    <col min="6" max="6" width="24.42578125" customWidth="1"/>
    <col min="7" max="7" width="20.28515625" bestFit="1" customWidth="1"/>
  </cols>
  <sheetData>
    <row r="1" spans="1:16" x14ac:dyDescent="0.2">
      <c r="A1" s="1" t="s">
        <v>0</v>
      </c>
      <c r="B1" s="1" t="s">
        <v>1</v>
      </c>
      <c r="C1" s="1" t="s">
        <v>2</v>
      </c>
      <c r="D1" s="1" t="s">
        <v>3</v>
      </c>
      <c r="E1" s="1" t="s">
        <v>237</v>
      </c>
      <c r="F1" s="1" t="s">
        <v>238</v>
      </c>
      <c r="G1" s="1" t="s">
        <v>239</v>
      </c>
      <c r="H1" s="1" t="s">
        <v>240</v>
      </c>
      <c r="I1" s="1" t="s">
        <v>242</v>
      </c>
      <c r="J1" s="1" t="s">
        <v>249</v>
      </c>
      <c r="K1" s="1" t="s">
        <v>243</v>
      </c>
      <c r="L1" s="1" t="s">
        <v>244</v>
      </c>
      <c r="M1" s="1" t="s">
        <v>245</v>
      </c>
      <c r="N1" s="1" t="s">
        <v>246</v>
      </c>
      <c r="O1" s="1" t="s">
        <v>247</v>
      </c>
      <c r="P1" s="1" t="s">
        <v>248</v>
      </c>
    </row>
    <row r="2" spans="1:16" x14ac:dyDescent="0.2">
      <c r="A2">
        <v>1</v>
      </c>
      <c r="B2" t="s">
        <v>4</v>
      </c>
      <c r="C2" t="s">
        <v>5</v>
      </c>
      <c r="D2" t="s">
        <v>6</v>
      </c>
      <c r="E2" t="s">
        <v>7</v>
      </c>
      <c r="F2">
        <v>13011</v>
      </c>
      <c r="G2" s="2">
        <f>F2/1000</f>
        <v>13.010999999999999</v>
      </c>
      <c r="H2">
        <v>2109</v>
      </c>
      <c r="I2">
        <v>382</v>
      </c>
      <c r="J2">
        <v>1</v>
      </c>
      <c r="K2">
        <v>1.9039743920000001E-3</v>
      </c>
      <c r="L2" t="s">
        <v>8</v>
      </c>
      <c r="M2" t="s">
        <v>9</v>
      </c>
      <c r="N2" t="s">
        <v>10</v>
      </c>
      <c r="O2">
        <v>6</v>
      </c>
      <c r="P2" t="s">
        <v>11</v>
      </c>
    </row>
    <row r="3" spans="1:16" x14ac:dyDescent="0.2">
      <c r="A3">
        <v>2</v>
      </c>
      <c r="B3" t="s">
        <v>4</v>
      </c>
      <c r="C3" t="s">
        <v>12</v>
      </c>
      <c r="D3" t="s">
        <v>13</v>
      </c>
      <c r="E3" t="s">
        <v>14</v>
      </c>
      <c r="F3">
        <v>5518</v>
      </c>
      <c r="G3" s="2">
        <f>F3/1000</f>
        <v>5.5179999999999998</v>
      </c>
      <c r="H3">
        <v>2325</v>
      </c>
      <c r="I3">
        <v>206</v>
      </c>
      <c r="J3">
        <v>1</v>
      </c>
      <c r="K3">
        <v>1.5220821039999999E-3</v>
      </c>
      <c r="L3" t="s">
        <v>8</v>
      </c>
      <c r="M3" t="s">
        <v>9</v>
      </c>
      <c r="N3" t="s">
        <v>15</v>
      </c>
      <c r="O3">
        <v>8</v>
      </c>
      <c r="P3" t="s">
        <v>16</v>
      </c>
    </row>
    <row r="4" spans="1:16" x14ac:dyDescent="0.2">
      <c r="A4">
        <v>3</v>
      </c>
      <c r="B4" t="s">
        <v>17</v>
      </c>
      <c r="C4" t="s">
        <v>18</v>
      </c>
      <c r="D4" t="s">
        <v>19</v>
      </c>
      <c r="E4" t="s">
        <v>20</v>
      </c>
      <c r="F4">
        <v>9095</v>
      </c>
      <c r="G4" s="2">
        <f t="shared" ref="G4:G21" si="0">F4/1000</f>
        <v>9.0950000000000006</v>
      </c>
      <c r="H4">
        <v>2299</v>
      </c>
      <c r="I4">
        <v>118</v>
      </c>
      <c r="J4">
        <v>1</v>
      </c>
      <c r="K4">
        <v>1.275250456E-3</v>
      </c>
      <c r="L4" t="s">
        <v>8</v>
      </c>
      <c r="M4" t="s">
        <v>9</v>
      </c>
      <c r="N4" t="s">
        <v>21</v>
      </c>
      <c r="O4">
        <v>8</v>
      </c>
      <c r="P4" t="s">
        <v>22</v>
      </c>
    </row>
    <row r="5" spans="1:16" x14ac:dyDescent="0.2">
      <c r="A5">
        <v>4</v>
      </c>
      <c r="B5" t="s">
        <v>17</v>
      </c>
      <c r="C5" t="s">
        <v>23</v>
      </c>
      <c r="D5" t="s">
        <v>24</v>
      </c>
      <c r="E5" t="s">
        <v>25</v>
      </c>
      <c r="F5">
        <v>9173</v>
      </c>
      <c r="G5" s="2">
        <f t="shared" si="0"/>
        <v>9.173</v>
      </c>
      <c r="H5">
        <v>2324</v>
      </c>
      <c r="I5">
        <v>413</v>
      </c>
      <c r="J5">
        <v>1</v>
      </c>
      <c r="K5">
        <v>2.0767736360000001E-3</v>
      </c>
      <c r="L5" t="s">
        <v>8</v>
      </c>
      <c r="M5" t="s">
        <v>9</v>
      </c>
      <c r="N5" t="s">
        <v>26</v>
      </c>
      <c r="O5">
        <v>8</v>
      </c>
      <c r="P5" t="s">
        <v>27</v>
      </c>
    </row>
    <row r="6" spans="1:16" x14ac:dyDescent="0.2">
      <c r="A6">
        <v>5</v>
      </c>
      <c r="B6" t="s">
        <v>17</v>
      </c>
      <c r="C6" t="s">
        <v>28</v>
      </c>
      <c r="D6" t="s">
        <v>29</v>
      </c>
      <c r="E6" t="s">
        <v>30</v>
      </c>
      <c r="F6">
        <v>9340</v>
      </c>
      <c r="G6" s="2">
        <f t="shared" si="0"/>
        <v>9.34</v>
      </c>
      <c r="H6">
        <v>2020</v>
      </c>
      <c r="I6">
        <v>205</v>
      </c>
      <c r="J6">
        <v>1</v>
      </c>
      <c r="K6">
        <v>1.39219834E-3</v>
      </c>
      <c r="L6" t="s">
        <v>31</v>
      </c>
      <c r="M6" t="s">
        <v>32</v>
      </c>
      <c r="N6" t="s">
        <v>33</v>
      </c>
      <c r="O6">
        <v>3</v>
      </c>
      <c r="P6" t="s">
        <v>34</v>
      </c>
    </row>
    <row r="7" spans="1:16" x14ac:dyDescent="0.2">
      <c r="A7">
        <v>6</v>
      </c>
      <c r="B7" t="s">
        <v>17</v>
      </c>
      <c r="C7" t="s">
        <v>35</v>
      </c>
      <c r="D7" t="s">
        <v>36</v>
      </c>
      <c r="E7" t="s">
        <v>37</v>
      </c>
      <c r="F7">
        <v>5205</v>
      </c>
      <c r="G7" s="2">
        <f t="shared" si="0"/>
        <v>5.2050000000000001</v>
      </c>
      <c r="H7">
        <v>2412</v>
      </c>
      <c r="I7">
        <v>239</v>
      </c>
      <c r="J7">
        <v>1</v>
      </c>
      <c r="K7">
        <v>1.6468615480000001E-3</v>
      </c>
      <c r="L7" t="s">
        <v>8</v>
      </c>
      <c r="M7" t="s">
        <v>9</v>
      </c>
      <c r="N7" t="s">
        <v>38</v>
      </c>
      <c r="O7">
        <v>9</v>
      </c>
      <c r="P7" t="s">
        <v>39</v>
      </c>
    </row>
    <row r="8" spans="1:16" x14ac:dyDescent="0.2">
      <c r="A8">
        <v>7</v>
      </c>
      <c r="B8" t="s">
        <v>40</v>
      </c>
      <c r="C8" t="s">
        <v>41</v>
      </c>
      <c r="D8" t="s">
        <v>42</v>
      </c>
      <c r="E8" t="s">
        <v>43</v>
      </c>
      <c r="F8">
        <v>18708</v>
      </c>
      <c r="G8" s="2">
        <f t="shared" si="0"/>
        <v>18.707999999999998</v>
      </c>
      <c r="H8">
        <v>2329</v>
      </c>
      <c r="I8">
        <v>350</v>
      </c>
      <c r="J8">
        <v>1</v>
      </c>
      <c r="K8">
        <v>1.9099128239999999E-3</v>
      </c>
      <c r="L8" t="s">
        <v>44</v>
      </c>
      <c r="M8" t="s">
        <v>32</v>
      </c>
      <c r="N8" t="s">
        <v>45</v>
      </c>
      <c r="O8">
        <v>3</v>
      </c>
      <c r="P8" t="s">
        <v>46</v>
      </c>
    </row>
    <row r="9" spans="1:16" x14ac:dyDescent="0.2">
      <c r="A9">
        <v>8</v>
      </c>
      <c r="B9" t="s">
        <v>40</v>
      </c>
      <c r="C9" t="s">
        <v>47</v>
      </c>
      <c r="D9" t="s">
        <v>48</v>
      </c>
      <c r="E9" t="s">
        <v>49</v>
      </c>
      <c r="F9">
        <v>4417</v>
      </c>
      <c r="G9" s="2">
        <f t="shared" si="0"/>
        <v>4.4169999999999998</v>
      </c>
      <c r="H9">
        <v>1701</v>
      </c>
      <c r="I9">
        <v>110</v>
      </c>
      <c r="J9">
        <v>1</v>
      </c>
      <c r="K9">
        <v>1.0043974959999999E-3</v>
      </c>
      <c r="L9" t="s">
        <v>8</v>
      </c>
      <c r="M9" t="s">
        <v>9</v>
      </c>
      <c r="N9" t="s">
        <v>38</v>
      </c>
      <c r="O9">
        <v>10</v>
      </c>
      <c r="P9" t="s">
        <v>50</v>
      </c>
    </row>
    <row r="10" spans="1:16" x14ac:dyDescent="0.2">
      <c r="A10">
        <v>9</v>
      </c>
      <c r="B10" t="s">
        <v>40</v>
      </c>
      <c r="C10" t="s">
        <v>51</v>
      </c>
      <c r="D10" t="s">
        <v>52</v>
      </c>
      <c r="E10" t="s">
        <v>53</v>
      </c>
      <c r="F10">
        <v>7188</v>
      </c>
      <c r="G10" s="2">
        <f t="shared" si="0"/>
        <v>7.1879999999999997</v>
      </c>
      <c r="H10">
        <v>2410</v>
      </c>
      <c r="I10">
        <v>241</v>
      </c>
      <c r="J10">
        <v>1</v>
      </c>
      <c r="K10">
        <v>1.651390804E-3</v>
      </c>
      <c r="L10" t="s">
        <v>54</v>
      </c>
      <c r="M10" t="s">
        <v>32</v>
      </c>
      <c r="N10" t="s">
        <v>55</v>
      </c>
      <c r="O10">
        <v>2</v>
      </c>
      <c r="P10" t="s">
        <v>56</v>
      </c>
    </row>
    <row r="11" spans="1:16" x14ac:dyDescent="0.2">
      <c r="A11">
        <v>10</v>
      </c>
      <c r="B11" t="s">
        <v>40</v>
      </c>
      <c r="C11" t="s">
        <v>57</v>
      </c>
      <c r="D11" t="s">
        <v>58</v>
      </c>
      <c r="E11" t="s">
        <v>59</v>
      </c>
      <c r="F11">
        <v>15571</v>
      </c>
      <c r="G11" s="2">
        <f t="shared" si="0"/>
        <v>15.571</v>
      </c>
      <c r="H11">
        <v>2240</v>
      </c>
      <c r="I11">
        <v>309</v>
      </c>
      <c r="J11">
        <v>1</v>
      </c>
      <c r="K11">
        <v>1.7628457959999999E-3</v>
      </c>
      <c r="L11" t="s">
        <v>60</v>
      </c>
      <c r="M11" t="s">
        <v>9</v>
      </c>
      <c r="N11" t="s">
        <v>61</v>
      </c>
      <c r="O11">
        <v>4</v>
      </c>
      <c r="P11" t="s">
        <v>62</v>
      </c>
    </row>
    <row r="12" spans="1:16" x14ac:dyDescent="0.2">
      <c r="A12">
        <v>11</v>
      </c>
      <c r="B12" t="s">
        <v>63</v>
      </c>
      <c r="C12" t="s">
        <v>64</v>
      </c>
      <c r="D12" t="s">
        <v>65</v>
      </c>
      <c r="E12" t="s">
        <v>66</v>
      </c>
      <c r="F12">
        <v>7075</v>
      </c>
      <c r="G12" s="2">
        <f t="shared" si="0"/>
        <v>7.0750000000000002</v>
      </c>
      <c r="H12">
        <v>2006</v>
      </c>
      <c r="I12">
        <v>209</v>
      </c>
      <c r="J12">
        <v>1</v>
      </c>
      <c r="K12">
        <v>1.397086292E-3</v>
      </c>
      <c r="L12" t="s">
        <v>8</v>
      </c>
      <c r="M12" t="s">
        <v>9</v>
      </c>
      <c r="N12" t="s">
        <v>67</v>
      </c>
      <c r="O12">
        <v>10</v>
      </c>
      <c r="P12" t="s">
        <v>68</v>
      </c>
    </row>
    <row r="13" spans="1:16" x14ac:dyDescent="0.2">
      <c r="A13">
        <v>12</v>
      </c>
      <c r="B13" t="s">
        <v>63</v>
      </c>
      <c r="C13" t="s">
        <v>69</v>
      </c>
      <c r="D13" t="s">
        <v>70</v>
      </c>
      <c r="E13" t="s">
        <v>71</v>
      </c>
      <c r="F13">
        <v>14498</v>
      </c>
      <c r="G13" s="2">
        <f t="shared" si="0"/>
        <v>14.497999999999999</v>
      </c>
      <c r="H13">
        <v>2199</v>
      </c>
      <c r="I13">
        <v>510</v>
      </c>
      <c r="J13">
        <v>1</v>
      </c>
      <c r="K13">
        <v>2.2847649839999999E-3</v>
      </c>
      <c r="L13" t="s">
        <v>8</v>
      </c>
      <c r="M13" t="s">
        <v>9</v>
      </c>
      <c r="N13" t="s">
        <v>72</v>
      </c>
      <c r="O13">
        <v>9</v>
      </c>
      <c r="P13" t="s">
        <v>73</v>
      </c>
    </row>
    <row r="14" spans="1:16" x14ac:dyDescent="0.2">
      <c r="A14">
        <v>13</v>
      </c>
      <c r="B14" t="s">
        <v>63</v>
      </c>
      <c r="C14" t="s">
        <v>74</v>
      </c>
      <c r="D14" t="s">
        <v>75</v>
      </c>
      <c r="E14" t="s">
        <v>76</v>
      </c>
      <c r="F14">
        <v>4778</v>
      </c>
      <c r="G14" s="2">
        <f t="shared" si="0"/>
        <v>4.7779999999999996</v>
      </c>
      <c r="H14">
        <v>2335</v>
      </c>
      <c r="I14">
        <v>158</v>
      </c>
      <c r="J14">
        <v>1</v>
      </c>
      <c r="K14">
        <v>1.397531832E-3</v>
      </c>
      <c r="L14" t="s">
        <v>8</v>
      </c>
      <c r="M14" t="s">
        <v>9</v>
      </c>
      <c r="N14" t="s">
        <v>77</v>
      </c>
      <c r="O14">
        <v>10</v>
      </c>
      <c r="P14" t="s">
        <v>78</v>
      </c>
    </row>
    <row r="15" spans="1:16" x14ac:dyDescent="0.2">
      <c r="A15">
        <v>14</v>
      </c>
      <c r="B15" t="s">
        <v>63</v>
      </c>
      <c r="C15" t="s">
        <v>79</v>
      </c>
      <c r="D15" t="s">
        <v>80</v>
      </c>
      <c r="E15" t="s">
        <v>81</v>
      </c>
      <c r="F15">
        <v>11158</v>
      </c>
      <c r="G15" s="2">
        <f t="shared" si="0"/>
        <v>11.157999999999999</v>
      </c>
      <c r="H15">
        <v>2530</v>
      </c>
      <c r="I15">
        <v>255</v>
      </c>
      <c r="J15">
        <v>1</v>
      </c>
      <c r="K15">
        <v>1.7389810999999999E-3</v>
      </c>
      <c r="L15" t="s">
        <v>8</v>
      </c>
      <c r="M15" t="s">
        <v>9</v>
      </c>
      <c r="N15" t="s">
        <v>82</v>
      </c>
      <c r="O15">
        <v>8</v>
      </c>
      <c r="P15" t="s">
        <v>83</v>
      </c>
    </row>
    <row r="16" spans="1:16" x14ac:dyDescent="0.2">
      <c r="A16">
        <v>15</v>
      </c>
      <c r="B16" t="s">
        <v>84</v>
      </c>
      <c r="C16" t="s">
        <v>85</v>
      </c>
      <c r="D16" t="s">
        <v>86</v>
      </c>
      <c r="E16" t="s">
        <v>87</v>
      </c>
      <c r="F16">
        <v>12461</v>
      </c>
      <c r="G16" s="2">
        <f t="shared" si="0"/>
        <v>12.461</v>
      </c>
      <c r="H16">
        <v>2573</v>
      </c>
      <c r="I16">
        <v>179</v>
      </c>
      <c r="J16">
        <v>1</v>
      </c>
      <c r="K16">
        <v>1.5531065239999999E-3</v>
      </c>
      <c r="L16" t="s">
        <v>54</v>
      </c>
      <c r="M16" t="s">
        <v>32</v>
      </c>
      <c r="N16" t="s">
        <v>88</v>
      </c>
      <c r="O16">
        <v>6</v>
      </c>
      <c r="P16" t="s">
        <v>89</v>
      </c>
    </row>
    <row r="17" spans="1:16" x14ac:dyDescent="0.2">
      <c r="A17">
        <v>16</v>
      </c>
      <c r="B17" t="s">
        <v>84</v>
      </c>
      <c r="C17" t="s">
        <v>90</v>
      </c>
      <c r="D17" t="s">
        <v>91</v>
      </c>
      <c r="E17" t="s">
        <v>92</v>
      </c>
      <c r="F17">
        <v>7494</v>
      </c>
      <c r="G17" s="2">
        <f t="shared" si="0"/>
        <v>7.4939999999999998</v>
      </c>
      <c r="H17">
        <v>2234</v>
      </c>
      <c r="I17">
        <v>226</v>
      </c>
      <c r="J17">
        <v>1</v>
      </c>
      <c r="K17">
        <v>1.537763688E-3</v>
      </c>
      <c r="L17" t="s">
        <v>8</v>
      </c>
      <c r="M17" t="s">
        <v>9</v>
      </c>
      <c r="N17" t="s">
        <v>93</v>
      </c>
      <c r="O17">
        <v>5</v>
      </c>
      <c r="P17" t="s">
        <v>94</v>
      </c>
    </row>
    <row r="18" spans="1:16" x14ac:dyDescent="0.2">
      <c r="A18">
        <v>17</v>
      </c>
      <c r="B18" t="s">
        <v>84</v>
      </c>
      <c r="C18" t="s">
        <v>95</v>
      </c>
      <c r="D18" t="s">
        <v>96</v>
      </c>
      <c r="E18" t="s">
        <v>97</v>
      </c>
      <c r="F18">
        <v>10595</v>
      </c>
      <c r="G18" s="2">
        <f t="shared" si="0"/>
        <v>10.595000000000001</v>
      </c>
      <c r="H18">
        <v>2148</v>
      </c>
      <c r="I18">
        <v>685</v>
      </c>
      <c r="J18">
        <v>1</v>
      </c>
      <c r="K18">
        <v>2.732789828E-3</v>
      </c>
      <c r="L18" t="s">
        <v>8</v>
      </c>
      <c r="M18" t="s">
        <v>9</v>
      </c>
      <c r="N18" t="s">
        <v>98</v>
      </c>
      <c r="O18">
        <v>8</v>
      </c>
      <c r="P18" t="s">
        <v>99</v>
      </c>
    </row>
    <row r="19" spans="1:16" x14ac:dyDescent="0.2">
      <c r="A19">
        <v>18</v>
      </c>
      <c r="B19" t="s">
        <v>84</v>
      </c>
      <c r="C19" t="s">
        <v>100</v>
      </c>
      <c r="D19" t="s">
        <v>101</v>
      </c>
      <c r="E19" t="s">
        <v>102</v>
      </c>
      <c r="F19">
        <v>7458</v>
      </c>
      <c r="G19" s="2">
        <f t="shared" si="0"/>
        <v>7.4580000000000002</v>
      </c>
      <c r="H19">
        <v>2072</v>
      </c>
      <c r="I19">
        <v>366</v>
      </c>
      <c r="J19">
        <v>1</v>
      </c>
      <c r="K19">
        <v>1.8456363759999999E-3</v>
      </c>
      <c r="L19" t="s">
        <v>8</v>
      </c>
      <c r="M19" t="s">
        <v>9</v>
      </c>
      <c r="N19" t="s">
        <v>103</v>
      </c>
      <c r="O19">
        <v>8</v>
      </c>
      <c r="P19" t="s">
        <v>104</v>
      </c>
    </row>
    <row r="20" spans="1:16" x14ac:dyDescent="0.2">
      <c r="A20">
        <v>19</v>
      </c>
      <c r="B20" t="s">
        <v>105</v>
      </c>
      <c r="C20" t="s">
        <v>106</v>
      </c>
      <c r="D20" t="s">
        <v>107</v>
      </c>
      <c r="E20" t="s">
        <v>108</v>
      </c>
      <c r="F20">
        <v>7689</v>
      </c>
      <c r="G20" s="2">
        <f t="shared" si="0"/>
        <v>7.6890000000000001</v>
      </c>
      <c r="H20">
        <v>2010</v>
      </c>
      <c r="I20">
        <v>326</v>
      </c>
      <c r="J20">
        <v>1</v>
      </c>
      <c r="K20">
        <v>1.7125115440000001E-3</v>
      </c>
      <c r="L20" t="s">
        <v>109</v>
      </c>
      <c r="M20" t="s">
        <v>9</v>
      </c>
      <c r="N20" t="s">
        <v>110</v>
      </c>
      <c r="O20">
        <v>8</v>
      </c>
      <c r="P20" t="s">
        <v>111</v>
      </c>
    </row>
    <row r="21" spans="1:16" x14ac:dyDescent="0.2">
      <c r="A21">
        <v>20</v>
      </c>
      <c r="B21" t="s">
        <v>105</v>
      </c>
      <c r="C21" t="s">
        <v>112</v>
      </c>
      <c r="D21" t="s">
        <v>113</v>
      </c>
      <c r="E21" t="s">
        <v>114</v>
      </c>
      <c r="F21">
        <v>9888</v>
      </c>
      <c r="G21" s="2">
        <f t="shared" si="0"/>
        <v>9.8879999999999999</v>
      </c>
      <c r="H21">
        <v>2299</v>
      </c>
      <c r="I21">
        <v>358</v>
      </c>
      <c r="J21">
        <v>1</v>
      </c>
      <c r="K21">
        <v>1.9188546159999999E-3</v>
      </c>
      <c r="L21" t="s">
        <v>8</v>
      </c>
      <c r="M21" t="s">
        <v>9</v>
      </c>
      <c r="N21" t="s">
        <v>115</v>
      </c>
      <c r="O21">
        <v>3</v>
      </c>
      <c r="P21" t="s">
        <v>116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1"/>
  <sheetViews>
    <sheetView workbookViewId="0">
      <selection activeCell="Q1" sqref="Q1"/>
    </sheetView>
  </sheetViews>
  <sheetFormatPr defaultRowHeight="12.75" x14ac:dyDescent="0.2"/>
  <cols>
    <col min="6" max="6" width="18.85546875" customWidth="1"/>
    <col min="7" max="7" width="31.140625" customWidth="1"/>
  </cols>
  <sheetData>
    <row r="1" spans="1:16" x14ac:dyDescent="0.2">
      <c r="A1" s="1" t="s">
        <v>0</v>
      </c>
      <c r="B1" s="1" t="s">
        <v>1</v>
      </c>
      <c r="C1" s="1" t="s">
        <v>2</v>
      </c>
      <c r="D1" s="1" t="s">
        <v>3</v>
      </c>
      <c r="E1" s="1" t="s">
        <v>237</v>
      </c>
      <c r="F1" s="1" t="s">
        <v>238</v>
      </c>
      <c r="G1" s="1" t="s">
        <v>239</v>
      </c>
      <c r="H1" s="1" t="s">
        <v>240</v>
      </c>
      <c r="I1" s="1" t="s">
        <v>242</v>
      </c>
      <c r="J1" s="1" t="s">
        <v>249</v>
      </c>
      <c r="K1" s="1" t="s">
        <v>243</v>
      </c>
      <c r="L1" s="1" t="s">
        <v>244</v>
      </c>
      <c r="M1" s="1" t="s">
        <v>245</v>
      </c>
      <c r="N1" s="1" t="s">
        <v>246</v>
      </c>
      <c r="O1" s="1" t="s">
        <v>247</v>
      </c>
      <c r="P1" s="1" t="s">
        <v>248</v>
      </c>
    </row>
    <row r="2" spans="1:16" x14ac:dyDescent="0.2">
      <c r="A2">
        <v>1</v>
      </c>
      <c r="B2" t="s">
        <v>4</v>
      </c>
      <c r="C2" t="s">
        <v>5</v>
      </c>
      <c r="D2" t="s">
        <v>6</v>
      </c>
      <c r="E2" t="s">
        <v>117</v>
      </c>
      <c r="F2">
        <v>21517</v>
      </c>
      <c r="G2">
        <f>F2/1000</f>
        <v>21.516999999999999</v>
      </c>
      <c r="H2">
        <v>25395</v>
      </c>
      <c r="I2">
        <v>683</v>
      </c>
      <c r="J2">
        <v>1</v>
      </c>
      <c r="K2">
        <v>1.2422727289999999E-2</v>
      </c>
      <c r="L2" t="s">
        <v>8</v>
      </c>
      <c r="M2" t="s">
        <v>9</v>
      </c>
      <c r="N2" t="s">
        <v>118</v>
      </c>
      <c r="O2">
        <v>3</v>
      </c>
      <c r="P2" t="s">
        <v>119</v>
      </c>
    </row>
    <row r="3" spans="1:16" x14ac:dyDescent="0.2">
      <c r="A3">
        <v>2</v>
      </c>
      <c r="B3" t="s">
        <v>4</v>
      </c>
      <c r="C3" t="s">
        <v>12</v>
      </c>
      <c r="D3" t="s">
        <v>13</v>
      </c>
      <c r="E3" t="s">
        <v>120</v>
      </c>
      <c r="F3">
        <v>4983</v>
      </c>
      <c r="G3">
        <f t="shared" ref="G3:G21" si="0">F3/1000</f>
        <v>4.9829999999999997</v>
      </c>
      <c r="H3">
        <v>23305</v>
      </c>
      <c r="I3">
        <v>264</v>
      </c>
      <c r="J3">
        <v>1</v>
      </c>
      <c r="K3">
        <v>1.042745466E-2</v>
      </c>
      <c r="L3" t="s">
        <v>8</v>
      </c>
      <c r="M3" t="s">
        <v>9</v>
      </c>
      <c r="N3" t="s">
        <v>121</v>
      </c>
      <c r="O3">
        <v>8</v>
      </c>
      <c r="P3" t="s">
        <v>122</v>
      </c>
    </row>
    <row r="4" spans="1:16" x14ac:dyDescent="0.2">
      <c r="A4">
        <v>3</v>
      </c>
      <c r="B4" t="s">
        <v>17</v>
      </c>
      <c r="C4" t="s">
        <v>18</v>
      </c>
      <c r="D4" t="s">
        <v>19</v>
      </c>
      <c r="E4" t="s">
        <v>123</v>
      </c>
      <c r="F4">
        <v>4985</v>
      </c>
      <c r="G4">
        <f t="shared" si="0"/>
        <v>4.9850000000000003</v>
      </c>
      <c r="H4">
        <v>30364</v>
      </c>
      <c r="I4">
        <v>264</v>
      </c>
      <c r="J4">
        <v>1</v>
      </c>
      <c r="K4">
        <v>1.337145296E-2</v>
      </c>
      <c r="L4" t="s">
        <v>8</v>
      </c>
      <c r="M4" t="s">
        <v>9</v>
      </c>
      <c r="N4" t="s">
        <v>124</v>
      </c>
      <c r="O4">
        <v>9</v>
      </c>
      <c r="P4" t="s">
        <v>125</v>
      </c>
    </row>
    <row r="5" spans="1:16" x14ac:dyDescent="0.2">
      <c r="A5">
        <v>4</v>
      </c>
      <c r="B5" t="s">
        <v>17</v>
      </c>
      <c r="C5" t="s">
        <v>23</v>
      </c>
      <c r="D5" t="s">
        <v>24</v>
      </c>
      <c r="E5" t="s">
        <v>126</v>
      </c>
      <c r="F5">
        <v>6865</v>
      </c>
      <c r="G5">
        <f t="shared" si="0"/>
        <v>6.8650000000000002</v>
      </c>
      <c r="H5">
        <v>29255</v>
      </c>
      <c r="I5">
        <v>281</v>
      </c>
      <c r="J5">
        <v>1</v>
      </c>
      <c r="K5">
        <v>1.2954526480000001E-2</v>
      </c>
      <c r="L5" t="s">
        <v>8</v>
      </c>
      <c r="M5" t="s">
        <v>9</v>
      </c>
      <c r="N5" t="s">
        <v>127</v>
      </c>
      <c r="O5">
        <v>8</v>
      </c>
      <c r="P5" t="s">
        <v>128</v>
      </c>
    </row>
    <row r="6" spans="1:16" x14ac:dyDescent="0.2">
      <c r="A6">
        <v>5</v>
      </c>
      <c r="B6" t="s">
        <v>17</v>
      </c>
      <c r="C6" t="s">
        <v>28</v>
      </c>
      <c r="D6" t="s">
        <v>29</v>
      </c>
      <c r="E6" t="s">
        <v>129</v>
      </c>
      <c r="F6">
        <v>3842</v>
      </c>
      <c r="G6">
        <f t="shared" si="0"/>
        <v>3.8420000000000001</v>
      </c>
      <c r="H6">
        <v>24969</v>
      </c>
      <c r="I6">
        <v>243</v>
      </c>
      <c r="J6">
        <v>1</v>
      </c>
      <c r="K6">
        <v>1.1065120479999999E-2</v>
      </c>
      <c r="L6" t="s">
        <v>60</v>
      </c>
      <c r="M6" t="s">
        <v>9</v>
      </c>
      <c r="N6" t="s">
        <v>130</v>
      </c>
      <c r="O6">
        <v>8</v>
      </c>
      <c r="P6" t="s">
        <v>131</v>
      </c>
    </row>
    <row r="7" spans="1:16" x14ac:dyDescent="0.2">
      <c r="A7">
        <v>6</v>
      </c>
      <c r="B7" t="s">
        <v>17</v>
      </c>
      <c r="C7" t="s">
        <v>35</v>
      </c>
      <c r="D7" t="s">
        <v>36</v>
      </c>
      <c r="E7" t="s">
        <v>132</v>
      </c>
      <c r="F7">
        <v>6400</v>
      </c>
      <c r="G7">
        <f t="shared" si="0"/>
        <v>6.4</v>
      </c>
      <c r="H7">
        <v>29015</v>
      </c>
      <c r="I7">
        <v>287</v>
      </c>
      <c r="J7">
        <v>1</v>
      </c>
      <c r="K7">
        <v>1.287052315E-2</v>
      </c>
      <c r="L7" t="s">
        <v>8</v>
      </c>
      <c r="M7" t="s">
        <v>9</v>
      </c>
      <c r="N7" t="s">
        <v>38</v>
      </c>
      <c r="O7">
        <v>8</v>
      </c>
      <c r="P7" t="s">
        <v>133</v>
      </c>
    </row>
    <row r="8" spans="1:16" x14ac:dyDescent="0.2">
      <c r="A8">
        <v>7</v>
      </c>
      <c r="B8" t="s">
        <v>40</v>
      </c>
      <c r="C8" t="s">
        <v>41</v>
      </c>
      <c r="D8" t="s">
        <v>42</v>
      </c>
      <c r="E8" t="s">
        <v>134</v>
      </c>
      <c r="F8">
        <v>8317</v>
      </c>
      <c r="G8">
        <f t="shared" si="0"/>
        <v>8.3170000000000002</v>
      </c>
      <c r="H8">
        <v>43967</v>
      </c>
      <c r="I8">
        <v>384</v>
      </c>
      <c r="J8">
        <v>1</v>
      </c>
      <c r="K8">
        <v>1.9366467809999999E-2</v>
      </c>
      <c r="L8" t="s">
        <v>44</v>
      </c>
      <c r="M8" t="s">
        <v>32</v>
      </c>
      <c r="N8" t="s">
        <v>135</v>
      </c>
      <c r="O8">
        <v>3</v>
      </c>
      <c r="P8" t="s">
        <v>136</v>
      </c>
    </row>
    <row r="9" spans="1:16" x14ac:dyDescent="0.2">
      <c r="A9">
        <v>8</v>
      </c>
      <c r="B9" t="s">
        <v>40</v>
      </c>
      <c r="C9" t="s">
        <v>47</v>
      </c>
      <c r="D9" t="s">
        <v>48</v>
      </c>
      <c r="E9" t="s">
        <v>137</v>
      </c>
      <c r="F9">
        <v>7181</v>
      </c>
      <c r="G9">
        <f t="shared" si="0"/>
        <v>7.181</v>
      </c>
      <c r="H9">
        <v>28266</v>
      </c>
      <c r="I9">
        <v>318</v>
      </c>
      <c r="J9">
        <v>1</v>
      </c>
      <c r="K9">
        <v>1.264128041E-2</v>
      </c>
      <c r="L9" t="s">
        <v>8</v>
      </c>
      <c r="M9" t="s">
        <v>9</v>
      </c>
      <c r="N9" t="s">
        <v>38</v>
      </c>
      <c r="O9">
        <v>10</v>
      </c>
      <c r="P9" t="s">
        <v>138</v>
      </c>
    </row>
    <row r="10" spans="1:16" x14ac:dyDescent="0.2">
      <c r="A10">
        <v>9</v>
      </c>
      <c r="B10" t="s">
        <v>40</v>
      </c>
      <c r="C10" t="s">
        <v>51</v>
      </c>
      <c r="D10" t="s">
        <v>52</v>
      </c>
      <c r="E10" t="s">
        <v>139</v>
      </c>
      <c r="F10">
        <v>58984</v>
      </c>
      <c r="G10">
        <f t="shared" si="0"/>
        <v>58.984000000000002</v>
      </c>
      <c r="H10">
        <v>29836</v>
      </c>
      <c r="I10">
        <v>1083</v>
      </c>
      <c r="J10">
        <v>1</v>
      </c>
      <c r="K10">
        <v>1.534754659E-2</v>
      </c>
      <c r="L10" t="s">
        <v>8</v>
      </c>
      <c r="M10" t="s">
        <v>9</v>
      </c>
      <c r="N10" t="s">
        <v>140</v>
      </c>
      <c r="O10">
        <v>2</v>
      </c>
      <c r="P10" t="s">
        <v>141</v>
      </c>
    </row>
    <row r="11" spans="1:16" x14ac:dyDescent="0.2">
      <c r="A11">
        <v>10</v>
      </c>
      <c r="B11" t="s">
        <v>40</v>
      </c>
      <c r="C11" t="s">
        <v>57</v>
      </c>
      <c r="D11" t="s">
        <v>58</v>
      </c>
      <c r="E11" t="s">
        <v>142</v>
      </c>
      <c r="F11">
        <v>8393</v>
      </c>
      <c r="G11">
        <f t="shared" si="0"/>
        <v>8.3930000000000007</v>
      </c>
      <c r="H11">
        <v>38322</v>
      </c>
      <c r="I11">
        <v>365</v>
      </c>
      <c r="J11">
        <v>1</v>
      </c>
      <c r="K11">
        <v>1.696123469E-2</v>
      </c>
      <c r="L11" t="s">
        <v>8</v>
      </c>
      <c r="M11" t="s">
        <v>9</v>
      </c>
      <c r="N11" t="s">
        <v>143</v>
      </c>
      <c r="O11">
        <v>3</v>
      </c>
      <c r="P11" t="s">
        <v>144</v>
      </c>
    </row>
    <row r="12" spans="1:16" x14ac:dyDescent="0.2">
      <c r="A12">
        <v>11</v>
      </c>
      <c r="B12" t="s">
        <v>63</v>
      </c>
      <c r="C12" t="s">
        <v>64</v>
      </c>
      <c r="D12" t="s">
        <v>65</v>
      </c>
      <c r="E12" t="s">
        <v>145</v>
      </c>
      <c r="F12">
        <v>12831</v>
      </c>
      <c r="G12">
        <f t="shared" si="0"/>
        <v>12.831</v>
      </c>
      <c r="H12">
        <v>25024</v>
      </c>
      <c r="I12">
        <v>564</v>
      </c>
      <c r="J12">
        <v>1</v>
      </c>
      <c r="K12">
        <v>1.194887912E-2</v>
      </c>
      <c r="L12" t="s">
        <v>8</v>
      </c>
      <c r="M12" t="s">
        <v>9</v>
      </c>
      <c r="N12" t="s">
        <v>146</v>
      </c>
      <c r="O12">
        <v>10</v>
      </c>
      <c r="P12" t="s">
        <v>147</v>
      </c>
    </row>
    <row r="13" spans="1:16" x14ac:dyDescent="0.2">
      <c r="A13">
        <v>12</v>
      </c>
      <c r="B13" t="s">
        <v>63</v>
      </c>
      <c r="C13" t="s">
        <v>69</v>
      </c>
      <c r="D13" t="s">
        <v>70</v>
      </c>
      <c r="E13" t="s">
        <v>148</v>
      </c>
      <c r="F13">
        <v>11779</v>
      </c>
      <c r="G13">
        <f t="shared" si="0"/>
        <v>11.779</v>
      </c>
      <c r="H13">
        <v>30904</v>
      </c>
      <c r="I13">
        <v>573</v>
      </c>
      <c r="J13">
        <v>1</v>
      </c>
      <c r="K13">
        <v>1.442530356E-2</v>
      </c>
      <c r="L13" t="s">
        <v>60</v>
      </c>
      <c r="M13" t="s">
        <v>9</v>
      </c>
      <c r="N13" t="s">
        <v>149</v>
      </c>
      <c r="O13">
        <v>8</v>
      </c>
      <c r="P13" t="s">
        <v>150</v>
      </c>
    </row>
    <row r="14" spans="1:16" x14ac:dyDescent="0.2">
      <c r="A14">
        <v>13</v>
      </c>
      <c r="B14" t="s">
        <v>63</v>
      </c>
      <c r="C14" t="s">
        <v>74</v>
      </c>
      <c r="D14" t="s">
        <v>75</v>
      </c>
      <c r="E14" t="s">
        <v>151</v>
      </c>
      <c r="F14">
        <v>4450</v>
      </c>
      <c r="G14">
        <f t="shared" si="0"/>
        <v>4.45</v>
      </c>
      <c r="H14">
        <v>25211</v>
      </c>
      <c r="I14">
        <v>437</v>
      </c>
      <c r="J14">
        <v>1</v>
      </c>
      <c r="K14">
        <v>1.168629472E-2</v>
      </c>
      <c r="L14" t="s">
        <v>8</v>
      </c>
      <c r="M14" t="s">
        <v>9</v>
      </c>
      <c r="N14" t="s">
        <v>152</v>
      </c>
      <c r="O14">
        <v>10</v>
      </c>
      <c r="P14" t="s">
        <v>153</v>
      </c>
    </row>
    <row r="15" spans="1:16" x14ac:dyDescent="0.2">
      <c r="A15">
        <v>14</v>
      </c>
      <c r="B15" t="s">
        <v>63</v>
      </c>
      <c r="C15" t="s">
        <v>79</v>
      </c>
      <c r="D15" t="s">
        <v>80</v>
      </c>
      <c r="E15" t="s">
        <v>154</v>
      </c>
      <c r="F15">
        <v>16751</v>
      </c>
      <c r="G15">
        <f t="shared" si="0"/>
        <v>16.751000000000001</v>
      </c>
      <c r="H15">
        <v>25485</v>
      </c>
      <c r="I15">
        <v>752</v>
      </c>
      <c r="J15">
        <v>1</v>
      </c>
      <c r="K15">
        <v>1.264529853E-2</v>
      </c>
      <c r="L15" t="s">
        <v>8</v>
      </c>
      <c r="M15" t="s">
        <v>9</v>
      </c>
      <c r="N15" t="s">
        <v>155</v>
      </c>
      <c r="O15">
        <v>8</v>
      </c>
      <c r="P15" t="s">
        <v>156</v>
      </c>
    </row>
    <row r="16" spans="1:16" x14ac:dyDescent="0.2">
      <c r="A16">
        <v>15</v>
      </c>
      <c r="B16" t="s">
        <v>84</v>
      </c>
      <c r="C16" t="s">
        <v>85</v>
      </c>
      <c r="D16" t="s">
        <v>86</v>
      </c>
      <c r="E16" t="s">
        <v>157</v>
      </c>
      <c r="F16">
        <v>60144</v>
      </c>
      <c r="G16">
        <f t="shared" si="0"/>
        <v>60.143999999999998</v>
      </c>
      <c r="H16">
        <v>34890</v>
      </c>
      <c r="I16">
        <v>1139</v>
      </c>
      <c r="J16">
        <v>1</v>
      </c>
      <c r="K16">
        <v>1.7605521919999999E-2</v>
      </c>
      <c r="L16" t="s">
        <v>8</v>
      </c>
      <c r="M16" t="s">
        <v>9</v>
      </c>
      <c r="N16" t="s">
        <v>158</v>
      </c>
      <c r="O16">
        <v>0</v>
      </c>
      <c r="P16" t="s">
        <v>159</v>
      </c>
    </row>
    <row r="17" spans="1:16" x14ac:dyDescent="0.2">
      <c r="A17">
        <v>16</v>
      </c>
      <c r="B17" t="s">
        <v>84</v>
      </c>
      <c r="C17" t="s">
        <v>90</v>
      </c>
      <c r="D17" t="s">
        <v>91</v>
      </c>
      <c r="E17" t="s">
        <v>160</v>
      </c>
      <c r="F17">
        <v>7213</v>
      </c>
      <c r="G17">
        <f t="shared" si="0"/>
        <v>7.2130000000000001</v>
      </c>
      <c r="H17">
        <v>33890</v>
      </c>
      <c r="I17">
        <v>267</v>
      </c>
      <c r="J17">
        <v>1</v>
      </c>
      <c r="K17">
        <v>1.4850037470000001E-2</v>
      </c>
      <c r="L17" t="s">
        <v>31</v>
      </c>
      <c r="M17" t="s">
        <v>9</v>
      </c>
      <c r="N17" t="s">
        <v>161</v>
      </c>
      <c r="O17">
        <v>8</v>
      </c>
      <c r="P17" t="s">
        <v>162</v>
      </c>
    </row>
    <row r="18" spans="1:16" x14ac:dyDescent="0.2">
      <c r="A18">
        <v>17</v>
      </c>
      <c r="B18" t="s">
        <v>84</v>
      </c>
      <c r="C18" t="s">
        <v>95</v>
      </c>
      <c r="D18" t="s">
        <v>96</v>
      </c>
      <c r="E18" t="s">
        <v>163</v>
      </c>
      <c r="F18">
        <v>53423</v>
      </c>
      <c r="G18">
        <f t="shared" si="0"/>
        <v>53.423000000000002</v>
      </c>
      <c r="H18">
        <v>35185</v>
      </c>
      <c r="I18">
        <v>984</v>
      </c>
      <c r="J18">
        <v>1</v>
      </c>
      <c r="K18">
        <v>1.731289242E-2</v>
      </c>
      <c r="L18" t="s">
        <v>60</v>
      </c>
      <c r="M18" t="s">
        <v>9</v>
      </c>
      <c r="N18" t="s">
        <v>164</v>
      </c>
      <c r="O18">
        <v>8</v>
      </c>
      <c r="P18" t="s">
        <v>165</v>
      </c>
    </row>
    <row r="19" spans="1:16" x14ac:dyDescent="0.2">
      <c r="A19">
        <v>18</v>
      </c>
      <c r="B19" t="s">
        <v>84</v>
      </c>
      <c r="C19" t="s">
        <v>100</v>
      </c>
      <c r="D19" t="s">
        <v>101</v>
      </c>
      <c r="E19" t="s">
        <v>166</v>
      </c>
      <c r="F19">
        <v>55314</v>
      </c>
      <c r="G19">
        <f t="shared" si="0"/>
        <v>55.314</v>
      </c>
      <c r="H19">
        <v>27773</v>
      </c>
      <c r="I19">
        <v>1032</v>
      </c>
      <c r="J19">
        <v>1</v>
      </c>
      <c r="K19">
        <v>1.435039418E-2</v>
      </c>
      <c r="L19" t="s">
        <v>167</v>
      </c>
      <c r="M19" t="s">
        <v>9</v>
      </c>
      <c r="N19" t="s">
        <v>168</v>
      </c>
      <c r="O19">
        <v>8</v>
      </c>
      <c r="P19" t="s">
        <v>169</v>
      </c>
    </row>
    <row r="20" spans="1:16" x14ac:dyDescent="0.2">
      <c r="A20">
        <v>19</v>
      </c>
      <c r="B20" t="s">
        <v>105</v>
      </c>
      <c r="C20" t="s">
        <v>106</v>
      </c>
      <c r="D20" t="s">
        <v>107</v>
      </c>
      <c r="E20" t="s">
        <v>170</v>
      </c>
      <c r="F20">
        <v>147511</v>
      </c>
      <c r="G20">
        <f t="shared" si="0"/>
        <v>147.511</v>
      </c>
      <c r="H20">
        <v>29524</v>
      </c>
      <c r="I20">
        <v>1726</v>
      </c>
      <c r="J20">
        <v>1</v>
      </c>
      <c r="K20">
        <v>1.6941747930000001E-2</v>
      </c>
      <c r="L20" t="s">
        <v>171</v>
      </c>
      <c r="M20" t="s">
        <v>9</v>
      </c>
      <c r="N20" t="s">
        <v>172</v>
      </c>
      <c r="O20">
        <v>3</v>
      </c>
      <c r="P20" t="s">
        <v>173</v>
      </c>
    </row>
    <row r="21" spans="1:16" x14ac:dyDescent="0.2">
      <c r="A21">
        <v>20</v>
      </c>
      <c r="B21" t="s">
        <v>105</v>
      </c>
      <c r="C21" t="s">
        <v>112</v>
      </c>
      <c r="D21" t="s">
        <v>113</v>
      </c>
      <c r="E21" t="s">
        <v>174</v>
      </c>
      <c r="F21">
        <v>4692</v>
      </c>
      <c r="G21">
        <f t="shared" si="0"/>
        <v>4.6920000000000002</v>
      </c>
      <c r="H21">
        <v>33159</v>
      </c>
      <c r="I21">
        <v>421</v>
      </c>
      <c r="J21">
        <v>1</v>
      </c>
      <c r="K21">
        <v>1.495814887E-2</v>
      </c>
      <c r="L21" t="s">
        <v>175</v>
      </c>
      <c r="M21" t="s">
        <v>32</v>
      </c>
      <c r="N21" t="s">
        <v>176</v>
      </c>
      <c r="O21">
        <v>2</v>
      </c>
      <c r="P21" t="s">
        <v>177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1"/>
  <sheetViews>
    <sheetView tabSelected="1" topLeftCell="F1" workbookViewId="0">
      <selection activeCell="L22" sqref="L22"/>
    </sheetView>
  </sheetViews>
  <sheetFormatPr defaultRowHeight="12.75" x14ac:dyDescent="0.2"/>
  <cols>
    <col min="4" max="4" width="18" customWidth="1"/>
    <col min="5" max="5" width="255.7109375" bestFit="1" customWidth="1"/>
    <col min="6" max="6" width="19.7109375" customWidth="1"/>
    <col min="7" max="7" width="22.28515625" customWidth="1"/>
  </cols>
  <sheetData>
    <row r="1" spans="1:17" x14ac:dyDescent="0.2">
      <c r="A1" s="1" t="s">
        <v>0</v>
      </c>
      <c r="B1" s="1" t="s">
        <v>1</v>
      </c>
      <c r="C1" s="1" t="s">
        <v>2</v>
      </c>
      <c r="D1" s="1" t="s">
        <v>3</v>
      </c>
      <c r="E1" s="1" t="s">
        <v>237</v>
      </c>
      <c r="F1" s="1" t="s">
        <v>238</v>
      </c>
      <c r="G1" s="1" t="s">
        <v>239</v>
      </c>
      <c r="H1" s="1" t="s">
        <v>240</v>
      </c>
      <c r="I1" s="1" t="s">
        <v>241</v>
      </c>
      <c r="J1" s="1" t="s">
        <v>242</v>
      </c>
      <c r="K1" s="1" t="s">
        <v>249</v>
      </c>
      <c r="L1" s="1" t="s">
        <v>243</v>
      </c>
      <c r="M1" s="1" t="s">
        <v>244</v>
      </c>
      <c r="N1" s="1" t="s">
        <v>245</v>
      </c>
      <c r="O1" s="1" t="s">
        <v>246</v>
      </c>
      <c r="P1" s="1" t="s">
        <v>247</v>
      </c>
      <c r="Q1" s="1" t="s">
        <v>248</v>
      </c>
    </row>
    <row r="2" spans="1:17" x14ac:dyDescent="0.2">
      <c r="A2">
        <v>1</v>
      </c>
      <c r="B2" t="s">
        <v>4</v>
      </c>
      <c r="C2" t="s">
        <v>5</v>
      </c>
      <c r="D2" t="s">
        <v>6</v>
      </c>
      <c r="E2" t="s">
        <v>178</v>
      </c>
      <c r="F2">
        <v>7108</v>
      </c>
      <c r="G2">
        <f>F2/1000</f>
        <v>7.1079999999999997</v>
      </c>
      <c r="H2">
        <v>365</v>
      </c>
      <c r="I2">
        <v>141047</v>
      </c>
      <c r="J2">
        <v>252</v>
      </c>
      <c r="K2">
        <v>1</v>
      </c>
      <c r="L2">
        <v>141047.00080000001</v>
      </c>
      <c r="M2" t="s">
        <v>8</v>
      </c>
      <c r="N2" t="s">
        <v>9</v>
      </c>
      <c r="O2" t="s">
        <v>179</v>
      </c>
      <c r="P2">
        <v>8</v>
      </c>
      <c r="Q2" t="s">
        <v>180</v>
      </c>
    </row>
    <row r="3" spans="1:17" x14ac:dyDescent="0.2">
      <c r="A3">
        <v>2</v>
      </c>
      <c r="B3" t="s">
        <v>4</v>
      </c>
      <c r="C3" t="s">
        <v>12</v>
      </c>
      <c r="D3" t="s">
        <v>13</v>
      </c>
      <c r="E3" t="s">
        <v>181</v>
      </c>
      <c r="F3">
        <v>7113</v>
      </c>
      <c r="G3">
        <f t="shared" ref="G3:G21" si="0">F3/1000</f>
        <v>7.1130000000000004</v>
      </c>
      <c r="H3">
        <v>363</v>
      </c>
      <c r="I3">
        <v>141047</v>
      </c>
      <c r="J3">
        <v>216</v>
      </c>
      <c r="K3">
        <v>1</v>
      </c>
      <c r="L3">
        <v>141047.0007</v>
      </c>
      <c r="M3" t="s">
        <v>8</v>
      </c>
      <c r="N3" t="s">
        <v>9</v>
      </c>
      <c r="O3" t="s">
        <v>182</v>
      </c>
      <c r="P3">
        <v>8</v>
      </c>
      <c r="Q3" t="s">
        <v>183</v>
      </c>
    </row>
    <row r="4" spans="1:17" x14ac:dyDescent="0.2">
      <c r="A4">
        <v>3</v>
      </c>
      <c r="B4" t="s">
        <v>17</v>
      </c>
      <c r="C4" t="s">
        <v>18</v>
      </c>
      <c r="D4" t="s">
        <v>19</v>
      </c>
      <c r="E4" t="s">
        <v>184</v>
      </c>
      <c r="F4">
        <v>5551</v>
      </c>
      <c r="G4">
        <f t="shared" si="0"/>
        <v>5.5510000000000002</v>
      </c>
      <c r="H4">
        <v>374</v>
      </c>
      <c r="I4">
        <v>141047</v>
      </c>
      <c r="J4">
        <v>200</v>
      </c>
      <c r="K4">
        <v>1</v>
      </c>
      <c r="L4">
        <v>141047.0007</v>
      </c>
      <c r="M4" t="s">
        <v>8</v>
      </c>
      <c r="N4" t="s">
        <v>9</v>
      </c>
      <c r="O4" t="s">
        <v>185</v>
      </c>
      <c r="P4">
        <v>10</v>
      </c>
      <c r="Q4" t="s">
        <v>186</v>
      </c>
    </row>
    <row r="5" spans="1:17" x14ac:dyDescent="0.2">
      <c r="A5">
        <v>4</v>
      </c>
      <c r="B5" t="s">
        <v>17</v>
      </c>
      <c r="C5" t="s">
        <v>23</v>
      </c>
      <c r="D5" t="s">
        <v>24</v>
      </c>
      <c r="E5" t="s">
        <v>187</v>
      </c>
      <c r="F5">
        <v>9212</v>
      </c>
      <c r="G5">
        <f t="shared" si="0"/>
        <v>9.2119999999999997</v>
      </c>
      <c r="H5">
        <v>367</v>
      </c>
      <c r="I5">
        <v>141047</v>
      </c>
      <c r="J5">
        <v>256</v>
      </c>
      <c r="K5">
        <v>1</v>
      </c>
      <c r="L5">
        <v>141047.00080000001</v>
      </c>
      <c r="M5" t="s">
        <v>8</v>
      </c>
      <c r="N5" t="s">
        <v>9</v>
      </c>
      <c r="O5" t="s">
        <v>188</v>
      </c>
      <c r="P5">
        <v>8</v>
      </c>
      <c r="Q5" t="s">
        <v>189</v>
      </c>
    </row>
    <row r="6" spans="1:17" x14ac:dyDescent="0.2">
      <c r="A6">
        <v>5</v>
      </c>
      <c r="B6" t="s">
        <v>17</v>
      </c>
      <c r="C6" t="s">
        <v>28</v>
      </c>
      <c r="D6" t="s">
        <v>29</v>
      </c>
      <c r="E6" t="s">
        <v>190</v>
      </c>
      <c r="F6">
        <v>8375</v>
      </c>
      <c r="G6">
        <f t="shared" si="0"/>
        <v>8.375</v>
      </c>
      <c r="H6">
        <v>364</v>
      </c>
      <c r="I6">
        <v>141047</v>
      </c>
      <c r="J6">
        <v>222</v>
      </c>
      <c r="K6">
        <v>1</v>
      </c>
      <c r="L6">
        <v>141047.0007</v>
      </c>
      <c r="M6" t="s">
        <v>109</v>
      </c>
      <c r="N6" t="s">
        <v>32</v>
      </c>
      <c r="O6" t="s">
        <v>191</v>
      </c>
      <c r="P6">
        <v>2</v>
      </c>
      <c r="Q6" t="s">
        <v>192</v>
      </c>
    </row>
    <row r="7" spans="1:17" x14ac:dyDescent="0.2">
      <c r="A7">
        <v>6</v>
      </c>
      <c r="B7" t="s">
        <v>17</v>
      </c>
      <c r="C7" t="s">
        <v>35</v>
      </c>
      <c r="D7" t="s">
        <v>36</v>
      </c>
      <c r="E7" t="s">
        <v>193</v>
      </c>
      <c r="F7">
        <v>9057</v>
      </c>
      <c r="G7">
        <f t="shared" si="0"/>
        <v>9.0570000000000004</v>
      </c>
      <c r="H7">
        <v>364</v>
      </c>
      <c r="I7">
        <v>141047</v>
      </c>
      <c r="J7">
        <v>302</v>
      </c>
      <c r="K7">
        <v>1</v>
      </c>
      <c r="L7">
        <v>141047.00099999999</v>
      </c>
      <c r="M7" t="s">
        <v>8</v>
      </c>
      <c r="N7" t="s">
        <v>9</v>
      </c>
      <c r="O7" t="s">
        <v>194</v>
      </c>
      <c r="P7">
        <v>8</v>
      </c>
      <c r="Q7" t="s">
        <v>195</v>
      </c>
    </row>
    <row r="8" spans="1:17" x14ac:dyDescent="0.2">
      <c r="A8">
        <v>7</v>
      </c>
      <c r="B8" t="s">
        <v>40</v>
      </c>
      <c r="C8" t="s">
        <v>41</v>
      </c>
      <c r="D8" t="s">
        <v>42</v>
      </c>
      <c r="E8" t="s">
        <v>196</v>
      </c>
      <c r="F8">
        <v>6598</v>
      </c>
      <c r="G8">
        <f t="shared" si="0"/>
        <v>6.5979999999999999</v>
      </c>
      <c r="H8">
        <v>383</v>
      </c>
      <c r="I8">
        <v>141047</v>
      </c>
      <c r="J8">
        <v>104</v>
      </c>
      <c r="K8">
        <v>1</v>
      </c>
      <c r="L8">
        <v>141047.00039999999</v>
      </c>
      <c r="M8" t="s">
        <v>8</v>
      </c>
      <c r="N8" t="s">
        <v>9</v>
      </c>
      <c r="O8" t="s">
        <v>197</v>
      </c>
      <c r="P8">
        <v>4</v>
      </c>
      <c r="Q8" t="s">
        <v>198</v>
      </c>
    </row>
    <row r="9" spans="1:17" x14ac:dyDescent="0.2">
      <c r="A9">
        <v>8</v>
      </c>
      <c r="B9" t="s">
        <v>40</v>
      </c>
      <c r="C9" t="s">
        <v>47</v>
      </c>
      <c r="D9" t="s">
        <v>48</v>
      </c>
      <c r="E9" t="s">
        <v>199</v>
      </c>
      <c r="F9">
        <v>4623</v>
      </c>
      <c r="G9">
        <f t="shared" si="0"/>
        <v>4.6230000000000002</v>
      </c>
      <c r="H9">
        <v>365</v>
      </c>
      <c r="I9">
        <v>141047</v>
      </c>
      <c r="J9">
        <v>143</v>
      </c>
      <c r="K9">
        <v>1</v>
      </c>
      <c r="L9">
        <v>141047.00049999999</v>
      </c>
      <c r="M9" t="s">
        <v>8</v>
      </c>
      <c r="N9" t="s">
        <v>9</v>
      </c>
      <c r="O9" t="s">
        <v>200</v>
      </c>
      <c r="P9">
        <v>10</v>
      </c>
      <c r="Q9" t="s">
        <v>201</v>
      </c>
    </row>
    <row r="10" spans="1:17" x14ac:dyDescent="0.2">
      <c r="A10">
        <v>9</v>
      </c>
      <c r="B10" t="s">
        <v>40</v>
      </c>
      <c r="C10" t="s">
        <v>51</v>
      </c>
      <c r="D10" t="s">
        <v>52</v>
      </c>
      <c r="E10" t="s">
        <v>202</v>
      </c>
      <c r="F10">
        <v>12280</v>
      </c>
      <c r="G10">
        <f t="shared" si="0"/>
        <v>12.28</v>
      </c>
      <c r="H10">
        <v>374</v>
      </c>
      <c r="I10">
        <v>141047</v>
      </c>
      <c r="J10">
        <v>278</v>
      </c>
      <c r="K10">
        <v>1</v>
      </c>
      <c r="L10">
        <v>141047.00090000001</v>
      </c>
      <c r="M10" t="s">
        <v>8</v>
      </c>
      <c r="N10" t="s">
        <v>9</v>
      </c>
      <c r="O10" t="s">
        <v>203</v>
      </c>
      <c r="P10">
        <v>8</v>
      </c>
      <c r="Q10" t="s">
        <v>204</v>
      </c>
    </row>
    <row r="11" spans="1:17" x14ac:dyDescent="0.2">
      <c r="A11">
        <v>10</v>
      </c>
      <c r="B11" t="s">
        <v>40</v>
      </c>
      <c r="C11" t="s">
        <v>57</v>
      </c>
      <c r="D11" t="s">
        <v>58</v>
      </c>
      <c r="E11" t="s">
        <v>205</v>
      </c>
      <c r="F11">
        <v>7635</v>
      </c>
      <c r="G11">
        <f t="shared" si="0"/>
        <v>7.6349999999999998</v>
      </c>
      <c r="H11">
        <v>379</v>
      </c>
      <c r="I11">
        <v>141047</v>
      </c>
      <c r="J11">
        <v>105</v>
      </c>
      <c r="K11">
        <v>1</v>
      </c>
      <c r="L11">
        <v>141047.00039999999</v>
      </c>
      <c r="M11" t="s">
        <v>8</v>
      </c>
      <c r="N11" t="s">
        <v>9</v>
      </c>
      <c r="O11" t="s">
        <v>206</v>
      </c>
      <c r="P11">
        <v>3</v>
      </c>
      <c r="Q11" t="s">
        <v>207</v>
      </c>
    </row>
    <row r="12" spans="1:17" x14ac:dyDescent="0.2">
      <c r="A12">
        <v>11</v>
      </c>
      <c r="B12" t="s">
        <v>63</v>
      </c>
      <c r="C12" t="s">
        <v>64</v>
      </c>
      <c r="D12" t="s">
        <v>65</v>
      </c>
      <c r="E12" t="s">
        <v>208</v>
      </c>
      <c r="F12">
        <v>8483</v>
      </c>
      <c r="G12">
        <f t="shared" si="0"/>
        <v>8.4830000000000005</v>
      </c>
      <c r="H12">
        <v>370</v>
      </c>
      <c r="I12">
        <v>141047</v>
      </c>
      <c r="J12">
        <v>201</v>
      </c>
      <c r="K12">
        <v>1</v>
      </c>
      <c r="L12">
        <v>141047.0007</v>
      </c>
      <c r="M12" t="s">
        <v>8</v>
      </c>
      <c r="N12" t="s">
        <v>9</v>
      </c>
      <c r="O12" t="s">
        <v>209</v>
      </c>
      <c r="P12">
        <v>9</v>
      </c>
      <c r="Q12" t="s">
        <v>210</v>
      </c>
    </row>
    <row r="13" spans="1:17" x14ac:dyDescent="0.2">
      <c r="A13">
        <v>12</v>
      </c>
      <c r="B13" t="s">
        <v>63</v>
      </c>
      <c r="C13" t="s">
        <v>69</v>
      </c>
      <c r="D13" t="s">
        <v>70</v>
      </c>
      <c r="E13" t="s">
        <v>211</v>
      </c>
      <c r="F13">
        <v>18614</v>
      </c>
      <c r="G13">
        <f t="shared" si="0"/>
        <v>18.614000000000001</v>
      </c>
      <c r="H13">
        <v>383</v>
      </c>
      <c r="I13">
        <v>141047</v>
      </c>
      <c r="J13">
        <v>488</v>
      </c>
      <c r="K13">
        <v>1</v>
      </c>
      <c r="L13">
        <v>141047.00150000001</v>
      </c>
      <c r="M13" t="s">
        <v>8</v>
      </c>
      <c r="N13" t="s">
        <v>9</v>
      </c>
      <c r="O13" t="s">
        <v>212</v>
      </c>
      <c r="P13">
        <v>8</v>
      </c>
      <c r="Q13" t="s">
        <v>213</v>
      </c>
    </row>
    <row r="14" spans="1:17" x14ac:dyDescent="0.2">
      <c r="A14">
        <v>13</v>
      </c>
      <c r="B14" t="s">
        <v>63</v>
      </c>
      <c r="C14" t="s">
        <v>74</v>
      </c>
      <c r="D14" t="s">
        <v>75</v>
      </c>
      <c r="E14" t="s">
        <v>214</v>
      </c>
      <c r="F14">
        <v>6051</v>
      </c>
      <c r="G14">
        <f t="shared" si="0"/>
        <v>6.0510000000000002</v>
      </c>
      <c r="H14">
        <v>378</v>
      </c>
      <c r="I14">
        <v>141047</v>
      </c>
      <c r="J14">
        <v>125</v>
      </c>
      <c r="K14">
        <v>1</v>
      </c>
      <c r="L14">
        <v>141047.00049999999</v>
      </c>
      <c r="M14" t="s">
        <v>8</v>
      </c>
      <c r="N14" t="s">
        <v>9</v>
      </c>
      <c r="O14" t="s">
        <v>152</v>
      </c>
      <c r="P14">
        <v>10</v>
      </c>
      <c r="Q14" t="s">
        <v>215</v>
      </c>
    </row>
    <row r="15" spans="1:17" x14ac:dyDescent="0.2">
      <c r="A15">
        <v>14</v>
      </c>
      <c r="B15" t="s">
        <v>63</v>
      </c>
      <c r="C15" t="s">
        <v>79</v>
      </c>
      <c r="D15" t="s">
        <v>80</v>
      </c>
      <c r="E15" t="s">
        <v>216</v>
      </c>
      <c r="F15">
        <v>8849</v>
      </c>
      <c r="G15">
        <f t="shared" si="0"/>
        <v>8.8490000000000002</v>
      </c>
      <c r="H15">
        <v>379</v>
      </c>
      <c r="I15">
        <v>141047</v>
      </c>
      <c r="J15">
        <v>190</v>
      </c>
      <c r="K15">
        <v>1</v>
      </c>
      <c r="L15">
        <v>141047.0007</v>
      </c>
      <c r="M15" t="s">
        <v>8</v>
      </c>
      <c r="N15" t="s">
        <v>9</v>
      </c>
      <c r="O15" t="s">
        <v>217</v>
      </c>
      <c r="P15">
        <v>8</v>
      </c>
      <c r="Q15" t="s">
        <v>218</v>
      </c>
    </row>
    <row r="16" spans="1:17" x14ac:dyDescent="0.2">
      <c r="A16">
        <v>15</v>
      </c>
      <c r="B16" t="s">
        <v>84</v>
      </c>
      <c r="C16" t="s">
        <v>85</v>
      </c>
      <c r="D16" t="s">
        <v>86</v>
      </c>
      <c r="E16" t="s">
        <v>219</v>
      </c>
      <c r="F16">
        <v>8785</v>
      </c>
      <c r="G16">
        <f t="shared" si="0"/>
        <v>8.7850000000000001</v>
      </c>
      <c r="H16">
        <v>379</v>
      </c>
      <c r="I16">
        <v>141047</v>
      </c>
      <c r="J16">
        <v>209</v>
      </c>
      <c r="K16">
        <v>1</v>
      </c>
      <c r="L16">
        <v>141047.0007</v>
      </c>
      <c r="M16" t="s">
        <v>31</v>
      </c>
      <c r="N16" t="s">
        <v>32</v>
      </c>
      <c r="O16" t="s">
        <v>220</v>
      </c>
      <c r="P16">
        <v>6</v>
      </c>
      <c r="Q16" t="s">
        <v>221</v>
      </c>
    </row>
    <row r="17" spans="1:17" x14ac:dyDescent="0.2">
      <c r="A17">
        <v>16</v>
      </c>
      <c r="B17" t="s">
        <v>84</v>
      </c>
      <c r="C17" t="s">
        <v>90</v>
      </c>
      <c r="D17" t="s">
        <v>91</v>
      </c>
      <c r="E17" t="s">
        <v>222</v>
      </c>
      <c r="F17">
        <v>10522</v>
      </c>
      <c r="G17">
        <f t="shared" si="0"/>
        <v>10.522</v>
      </c>
      <c r="H17">
        <v>375</v>
      </c>
      <c r="I17">
        <v>141047</v>
      </c>
      <c r="J17">
        <v>192</v>
      </c>
      <c r="K17">
        <v>1</v>
      </c>
      <c r="L17">
        <v>141047.0007</v>
      </c>
      <c r="M17" t="s">
        <v>8</v>
      </c>
      <c r="N17" t="s">
        <v>9</v>
      </c>
      <c r="O17" t="s">
        <v>223</v>
      </c>
      <c r="P17">
        <v>6</v>
      </c>
      <c r="Q17" t="s">
        <v>224</v>
      </c>
    </row>
    <row r="18" spans="1:17" x14ac:dyDescent="0.2">
      <c r="A18">
        <v>17</v>
      </c>
      <c r="B18" t="s">
        <v>84</v>
      </c>
      <c r="C18" t="s">
        <v>95</v>
      </c>
      <c r="D18" t="s">
        <v>96</v>
      </c>
      <c r="E18" t="s">
        <v>225</v>
      </c>
      <c r="F18">
        <v>11106</v>
      </c>
      <c r="G18">
        <f t="shared" si="0"/>
        <v>11.106</v>
      </c>
      <c r="H18">
        <v>380</v>
      </c>
      <c r="I18">
        <v>141047</v>
      </c>
      <c r="J18">
        <v>329</v>
      </c>
      <c r="K18">
        <v>1</v>
      </c>
      <c r="L18">
        <v>141047.00099999999</v>
      </c>
      <c r="M18" t="s">
        <v>8</v>
      </c>
      <c r="N18" t="s">
        <v>9</v>
      </c>
      <c r="O18" t="s">
        <v>226</v>
      </c>
      <c r="P18">
        <v>8</v>
      </c>
      <c r="Q18" t="s">
        <v>227</v>
      </c>
    </row>
    <row r="19" spans="1:17" x14ac:dyDescent="0.2">
      <c r="A19">
        <v>18</v>
      </c>
      <c r="B19" t="s">
        <v>84</v>
      </c>
      <c r="C19" t="s">
        <v>100</v>
      </c>
      <c r="D19" t="s">
        <v>101</v>
      </c>
      <c r="E19" t="s">
        <v>228</v>
      </c>
      <c r="F19">
        <v>7463</v>
      </c>
      <c r="G19">
        <f t="shared" si="0"/>
        <v>7.4630000000000001</v>
      </c>
      <c r="H19">
        <v>388</v>
      </c>
      <c r="I19">
        <v>141047</v>
      </c>
      <c r="J19">
        <v>218</v>
      </c>
      <c r="K19">
        <v>1</v>
      </c>
      <c r="L19">
        <v>141047.0007</v>
      </c>
      <c r="M19" t="s">
        <v>8</v>
      </c>
      <c r="N19" t="s">
        <v>9</v>
      </c>
      <c r="O19" t="s">
        <v>229</v>
      </c>
      <c r="P19">
        <v>8</v>
      </c>
      <c r="Q19" t="s">
        <v>230</v>
      </c>
    </row>
    <row r="20" spans="1:17" x14ac:dyDescent="0.2">
      <c r="A20">
        <v>19</v>
      </c>
      <c r="B20" t="s">
        <v>105</v>
      </c>
      <c r="C20" t="s">
        <v>106</v>
      </c>
      <c r="D20" t="s">
        <v>107</v>
      </c>
      <c r="E20" t="s">
        <v>231</v>
      </c>
      <c r="F20">
        <v>12691</v>
      </c>
      <c r="G20">
        <f t="shared" si="0"/>
        <v>12.691000000000001</v>
      </c>
      <c r="H20">
        <v>393</v>
      </c>
      <c r="I20">
        <v>141047</v>
      </c>
      <c r="J20">
        <v>224</v>
      </c>
      <c r="K20">
        <v>1</v>
      </c>
      <c r="L20">
        <v>141047.00080000001</v>
      </c>
      <c r="M20" t="s">
        <v>8</v>
      </c>
      <c r="N20" t="s">
        <v>9</v>
      </c>
      <c r="O20" t="s">
        <v>232</v>
      </c>
      <c r="P20">
        <v>5</v>
      </c>
      <c r="Q20" t="s">
        <v>233</v>
      </c>
    </row>
    <row r="21" spans="1:17" x14ac:dyDescent="0.2">
      <c r="A21">
        <v>20</v>
      </c>
      <c r="B21" t="s">
        <v>105</v>
      </c>
      <c r="C21" t="s">
        <v>112</v>
      </c>
      <c r="D21" t="s">
        <v>113</v>
      </c>
      <c r="E21" t="s">
        <v>234</v>
      </c>
      <c r="F21">
        <v>11097</v>
      </c>
      <c r="G21">
        <f t="shared" si="0"/>
        <v>11.097</v>
      </c>
      <c r="H21">
        <v>381</v>
      </c>
      <c r="I21">
        <v>141047</v>
      </c>
      <c r="J21">
        <v>208</v>
      </c>
      <c r="K21">
        <v>1</v>
      </c>
      <c r="L21">
        <v>141047.0007</v>
      </c>
      <c r="M21" t="s">
        <v>31</v>
      </c>
      <c r="N21" t="s">
        <v>32</v>
      </c>
      <c r="O21" t="s">
        <v>235</v>
      </c>
      <c r="P21">
        <v>10</v>
      </c>
      <c r="Q21" t="s">
        <v>236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RAG_Pinecone</vt:lpstr>
      <vt:lpstr>RAG_Native</vt:lpstr>
      <vt:lpstr>LongContext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Florian Alexandru Serb Petrusel</cp:lastModifiedBy>
  <dcterms:created xsi:type="dcterms:W3CDTF">2026-02-19T10:31:17Z</dcterms:created>
  <dcterms:modified xsi:type="dcterms:W3CDTF">2026-03-03T17:25:21Z</dcterms:modified>
</cp:coreProperties>
</file>
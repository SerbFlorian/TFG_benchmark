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lorian\Desktop\TFG_benchmark\"/>
    </mc:Choice>
  </mc:AlternateContent>
  <xr:revisionPtr revIDLastSave="0" documentId="13_ncr:1_{A59B75A7-EFAE-45EE-9FFF-281A4AEF37A4}" xr6:coauthVersionLast="47" xr6:coauthVersionMax="47" xr10:uidLastSave="{00000000-0000-0000-0000-000000000000}"/>
  <bookViews>
    <workbookView xWindow="-120" yWindow="-120" windowWidth="29040" windowHeight="15720" xr2:uid="{00000000-000D-0000-FFFF-FFFF00000000}"/>
  </bookViews>
  <sheets>
    <sheet name="RAG_Pinecone" sheetId="1" r:id="rId1"/>
    <sheet name="RAG_Native" sheetId="2" r:id="rId2"/>
    <sheet name="LongContex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3" l="1"/>
  <c r="I24" i="3"/>
  <c r="H24" i="3"/>
</calcChain>
</file>

<file path=xl/sharedStrings.xml><?xml version="1.0" encoding="utf-8"?>
<sst xmlns="http://schemas.openxmlformats.org/spreadsheetml/2006/main" count="423" uniqueCount="201">
  <si>
    <t>ID</t>
  </si>
  <si>
    <t>Difficulty</t>
  </si>
  <si>
    <t>Question</t>
  </si>
  <si>
    <t>Reference_Answer</t>
  </si>
  <si>
    <t>Response</t>
  </si>
  <si>
    <t>Time</t>
  </si>
  <si>
    <t>Time_seconds</t>
  </si>
  <si>
    <t>Input_Tokens</t>
  </si>
  <si>
    <t>Output_Tokens</t>
  </si>
  <si>
    <t>Chunks</t>
  </si>
  <si>
    <t>Cost_Total</t>
  </si>
  <si>
    <t>Question_score_Judge(0/10)</t>
  </si>
  <si>
    <t>Judge_Reasoning</t>
  </si>
  <si>
    <t>Unnamed: 13</t>
  </si>
  <si>
    <t>Context_Found_(Sí/No)</t>
  </si>
  <si>
    <t>Easy</t>
  </si>
  <si>
    <t>What is the tightening torque for the knock sensor according to the manual?</t>
  </si>
  <si>
    <t>The tightening torque is 20±5Nm.</t>
  </si>
  <si>
    <t>According to the workshop manual, the tightening torque for the knock sensor is **20 ± 5 Nm**.
**Key Installation Notes:**
*   **Bolt Length:** For aluminum alloy blocks, use a 30 mm bolt. For cast iron blocks, use a 25 mm bolt.
*   **Surface Preparation:** Ensure the contact area between the sensor and the engine block is thoroughly clean.
*   **Gaskets:** Do **not** use any type of washer or gasket between the sensor and the engine block, as the sensor must cling directly to the cylinder to accurately receive vibration signals.
*   **Positioning:** For 4-cylinder engines, the sensor is typically installed between cylinders #2 and #3. For 3-cylinder engines, it is usually at the center of cylinder #2.</t>
  </si>
  <si>
    <t>La respuesta es perfecta, contiene el par de apriete exacto y no tiene información extraña.</t>
  </si>
  <si>
    <t>Sí</t>
  </si>
  <si>
    <t>What is the required electrode gap for the spark plug?</t>
  </si>
  <si>
    <t>The electrode gap of the spark plug should be 0.7-0.9mm.</t>
  </si>
  <si>
    <t>Based on the official workshop manual documentation, the required electrode gap for the spark plug is typically between **0.7 mm and 0.9 mm**. 
### **Key Technical Specifications &amp; Maintenance:**
*   **Gap Adjustment:** For single-electrode plugs, use a feeler gauge to measure the gap. If adjustment is needed, only bend the outer (earth) electrode. **Never bend the center electrode**, as this can crack the insulator and lead to engine damage.
*   **Multi-Electrode Plugs:** The gap on multi-electrode spark plugs is generally **not adjustable**.
*   **Maintenance Interval:** It is recommended to inspect, clean carbon deposits, and adjust the gap every **10,000 to 15,000 km** (approx. 6,000 to 9,000 miles).
*   **Operational Impact:** 
    *   **Too small a gap:** Reduces breakdown voltage and weakens spark intensity.
    *   **Too large a gap:** Increases the voltage required from the ignition coil, which can lead to "spark out" (misfires), especially as ignition components age.
*(Information sourced from official workshop manual documentation)*</t>
  </si>
  <si>
    <t>La respuesta es precisa y contiene todos los datos técnicos exactos, además de información adicional útil.</t>
  </si>
  <si>
    <t>Normal</t>
  </si>
  <si>
    <t>According to the manual, what are the specific cut off pressures for the low and high A/C pressure switches, and the cut-in pressure for the medium switch?</t>
  </si>
  <si>
    <t>Cut off pressure of the low pressure switch: 0.12Mpa. Cut-in pressure of the medium voltage switch: 1.6Mpa. Cut off pressure of the high pressure switch: 3.2Mpa.</t>
  </si>
  <si>
    <t>According to the workshop manual, the specific pressures for the A/C pressure switches are as follows:
*   **Low Pressure Switch (Cut-off):** 0.12 MPa
*   **Medium Pressure Switch (Cut-in):** 1.6 MPa (triggers the fan to run at high speed)
*   **High Pressure Switch (Cut-off):** 3.2 MPa
The Electronic Control Unit (ECU) monitors these signals to ensure the safety of the A/C system, cutting off the compressor if the pressure is too low or too high, and increasing cooling performance when the medium pressure threshold is reached.</t>
  </si>
  <si>
    <t>La respuesta es precisa y contiene todos los datos técnicos exactos, aunque incluye información adicional sobre el ECU.</t>
  </si>
  <si>
    <t>Which specific Diagnostic Trouble Code (DTC) corresponds to "Too low voltage in signal circuit of knock sensor"?</t>
  </si>
  <si>
    <t>P0327</t>
  </si>
  <si>
    <t>According to the official workshop manual, the specific Diagnostic Trouble Code (DTC) for **"Too low voltage in signal circuit of knock sensor"** is:
**P0327**
Additionally, the manual identifies **P0328** as the code for "Too high voltage in signal circuit of knock sensor" and **P0324** for a general failure in the knock signal processing chip or circuit.</t>
  </si>
  <si>
    <t>La respuesta generada es precisa y proporciona el DTC correcto, P0327, para el problema especificado. Además, ofrece información adicional relevante sobre códigos relacionados, lo cual es útil pero no estrictamente necesario para la pregunta.</t>
  </si>
  <si>
    <t>When checking the resistance of the coolant temperature sensor at 20°C with a multimeter, what should the rated resistance be?</t>
  </si>
  <si>
    <t>The rated resistance should be 2.5±5% KΩ.</t>
  </si>
  <si>
    <t>Based on the official workshop manual, the specifications for the coolant temperature sensor are as follows:
*   **Rated Resistance at 20°C:** **2.5 kΩ ± 5%** (2,500 ohms).
*   **Sensor Type:** NTC (Negative Temperature Coefficient), meaning resistance decreases as the temperature rises.
*   **Reference Value (Boiling):** If tested in boiling water (approx. 100°C), the resistance should drop to approximately **300Ω – 400Ω**.
**Testing Procedure:**
1.  Ensure the ignition is **OFF** and the connector is removed from the sensor.
2.  Set your multimeter to the **Ohm (Ω) setting**.
3.  Connect the multimeter probes to the **pins 1 and 2** of the sensor.
4.  If the reading at 20°C is significantly outside the 2.375 kΩ to 2.625 kΩ range, the sensor should be replaced.</t>
  </si>
  <si>
    <t>La respuesta generada es precisa y contiene todos los datos técnicos exactos, incluyendo el rango de resistencia correcto y detalles adicionales útiles.</t>
  </si>
  <si>
    <t>At what temperature range does the conversion efficiency of the three-way catalytic converter reach its maximum?</t>
  </si>
  <si>
    <t>At 300-800°C, the conversion efficiency of the three-way catalytic converter is maximum.</t>
  </si>
  <si>
    <t>According to the official workshop manual, the conversion efficiency of a three-way catalytic converter reaches its maximum within the temperature range of **300°C to 800°C**.
Key details regarding this temperature range:
*   **Below 300°C:** Conversion efficiency is very poor (the converter has not yet reached "light-off" temperature).
*   **Above 800°C:** The catalytic converter is at risk of being burnt out or suffering thermal damage.
*   **Optimal Operation:** Maximum efficiency is also dependent on the engine control unit (ECU) maintaining a stoichiometric air-fuel ratio (14.7:1) using feedback from the oxygen sensor.</t>
  </si>
  <si>
    <t>La respuesta es perfecta, contiene todos los datos técnicos exactos y no tiene información extraña.</t>
  </si>
  <si>
    <t>Hard</t>
  </si>
  <si>
    <t>In the failure diagnosis for the Electronic Throttle (DTC P0122), if you pull out the joint and the voltage between the 3# and 5# pins is around 12V and 5V between 6# and 2#, and then you check the resistance between 1#, 4# and 6# pins and find it to be 1.0kΩ, what is the exact follow-up step you must perform?</t>
  </si>
  <si>
    <t>Check if it is break or short circuit between 1#, 4# and 6# pins of throttle position sensor and ECU38#, 54#, 36#; or, turn blade of the throttle to observe if its resistance value jumps.</t>
  </si>
  <si>
    <t>Based on the official workshop manual for Electronic Throttle failure diagnosis (DTC P0122), the follow-up step after verifying that the voltage between pins **3# and 5#** is ~12V, the voltage between pins **6# and 2#** is 5V, and the static resistance between pins **1#, 4#, and 6#** is within the normal range (1.0kΩ is within the specified 0.5kΩ to 1.6kΩ range) is:
**Exact Follow-up Step:**
Use a multimeter to check for a **break or short circuit** between pins **1#, 4#, and 6#** of the throttle position sensor and **ECU pins 38#, 54#, and 36#**. 
Additionally, you should **turn the blade of the throttle** to observe if the resistance value jumps or if the resistance values between pins 1#, 4#, and 6# change accordingly with the rotation of the throttle (to verify dynamic sensor performance).
**Diagnostic Logic Summary:**
*   If there is a break or short in the harness to the ECU: **Repair or replace the wire harness.**
*   If the circuit is intact but the signal does not change correctly with throttle movement: **Replace the electronic throttle body.**
*   If the circuit and sensor are both confirmed good but the fault persists: **Replace the ECU.**
*(Information retrieved from official Workshop Manual technical data)*</t>
  </si>
  <si>
    <t>La respuesta generada es precisa y contiene todos los pasos necesarios según el manual oficial.</t>
  </si>
  <si>
    <t>During an inspection for a Front Oxygen Sensor failure, the engine warms up and runs at idle speed. You pull off the connector and measure the voltage between pin 3# (+) and 4# (-). It reads 0.5V. According to the troubleshooting table, what is the exact next step?</t>
  </si>
  <si>
    <t>Connect the adaptor between ECU and harness. Check if it is short circuit or break circuit between the pin 36# and pin 13# of ECU and the sensor connector pin 3# and pin 4# respectively with multimeter.</t>
  </si>
  <si>
    <t>According to the Front Oxygen Sensor failure troubleshooting table (Section 11.4) in the workshop manual, if the engine is warm, idling, and the voltage between pin **3# (+)** and pin **4# (-)** is measured between **0.1V and 0.9V** (the reading of 0.5V falls within this range), the result is "Yes."
The exact next step is to:
**Connect the adaptor between the ECU and harness. Check if there is a short circuit or break in the circuit between pin 36# and pin 55# of the ECU and the sensor connector pins 3# and 4# respectively using a multimeter.**
(Note: Based on the table, if this circuit check identifies a fault, the follow-up is to repair or replace the harness; if no circuit fault is found, the follow-up is to replace the ECU.)</t>
  </si>
  <si>
    <t>La respuesta generada es incorrecta porque menciona el pin 55# en lugar del pin 13#, lo cual es un error crítico.</t>
  </si>
  <si>
    <t>No</t>
  </si>
  <si>
    <t>If an engine has periodic unsteadiness at idle speed, and doing a spark out cylinder test shows NO fall or fluctuation in engine revolution, what is the immediate next diagnostic step you should take?</t>
  </si>
  <si>
    <t>Turn on ignition switch, connect an adaptor between ECU and harness, and then check if the voltage between 17# and 42# pins of ECU, between 39# and 17# pins of ECU as well as 64#, 65#, 66#, 67# pins of ECU is normal.</t>
  </si>
  <si>
    <t>Based on the diagnostic procedures outlined in the technical manual, if an engine exhibits unsteadiness at idle and a **spark-out cylinder test** (cylinder balance test) results in **no fall or fluctuation** in engine RPM for a specific cylinder, it indicates that the cylinder is not contributing to power.
The immediate next diagnostic step according to the official troubleshooting flow is to:
**Check the fuel injectors of each cylinder to ensure they are in the correct working condition.**
### Additional Diagnostic Context:
*   **Failed Spark-Out Test:** If the engine speed does not drop when a cylinder's ignition/fuel is cut, that cylinder was already misfiring or "dead." 
*   **Fuel System:** After checking the injectors, you should also verify the **spark plugs** and **ignition cables/coils** for that specific cylinder.
*   **Mechanical Integrity:** If the fuel and ignition systems are functional, the next step is to perform a **cylinder compression test** or a **leak-down test** to check for internal mechanical failures (e.g., leaky valves, worn rings).
*   **General Unsteadiness:** For periodic unsteadiness specifically, the manual also recommends checking for **air intake leaks** and the **electronic throttle body** for carbon deposits or failure.
*(Answer based on official Workshop Manual diagnostic flow for EFI systems)*</t>
  </si>
  <si>
    <t>La respuesta generada no coincide con la respuesta real, ya que sugiere verificar los inyectores de combustible en lugar de realizar pruebas de voltaje en el ECU.</t>
  </si>
  <si>
    <t>For the electronic accelerator pedal position sensor, what is the relationship between signal 1 and the signal voltage, and what is the exact voltage of signal 1 at the idle speed position?</t>
  </si>
  <si>
    <t>Signal 1 is equal to signal voltage. At idle speed position, the voltage of signal 1 is 4.59.</t>
  </si>
  <si>
    <t>According to the official workshop manual, the relationship and specifications for the electronic accelerator pedal position (APP) sensor are as follows:
*   **Relationship:** The relationship between the two signals is defined such that **signal 1 is equal to signal voltage**.
*   **Idle Speed Position Voltage:** At the idle speed position, the exact voltage for **Signal 1 is 4.59 V** (Signal 2 is 4.30 V at this position).
**Additional Technical Details from the Manual:**
*   **Sensor Type:** The pedal utilizes two sets of integrated **Hall sensors** and permanent magnets.
*   **Voltage Behavior:** The voltage reaches its **minimum value** when the pedal is in the middle position and reaches its **maximum value** when the pedal is at either end position (fully released or fully depressed).
*   **Redundancy:** The ECU compares both signals; if one signal is found to be improper, the ECU will switch to the other signal and illuminate the failure indicator.
*   **Maintenance:** The pedal is an integrated circuit device and cannot be repaired or disassembled; it must be replaced as a complete assembly if a fault is detected.</t>
  </si>
  <si>
    <t>La respuesta generada es precisa y contiene todos los datos técnicos exactos requeridos, además de información adicional útil.</t>
  </si>
  <si>
    <t>V. Hard</t>
  </si>
  <si>
    <t>I am diagnosing DTC P0134. I've put the ignition switch to ON, pulled the harness, and measured 12V between pin 1(+) and 2(-). I checked the resistance between 1 and 2 and got 35 ohms at 23°C. The heating circuit is normal. I checked for short circuits on pin 2 and pin 1 and found none. What is the next physical action I must do according to the table?</t>
  </si>
  <si>
    <t>Connect the oxygen sensor connector of harness and use neutral. Start the engine and leave it at idle speed until its coolant temperature reaches to the normal value.</t>
  </si>
  <si>
    <t>According to the diagnostic table for **DTC P0134** (Front Oxygen Sensor failure), you have already completed the initial electrical checks on the heater circuit (Steps 1 through 5). Since you found no short or break in the harness (Step 5 result: "No"), the next physical action you must perform is **Step 6**:
**Next Physical Action:**
1. **Reconnect** the oxygen sensor connector to the harness.
2. **Start the engine** and leave it in neutral at **idle speed**.
3. **Wait** until the engine coolant temperature reaches its normal operating value.
**Technical Note from the Manual:**
While you stated the heating circuit is normal, the manual specifies that the resistance between pins 1 and 2 should be between **2Ω and 5Ω** at 23°C (Step 3). Your reading of **35 ohms** is significantly outside this range. According to the table logic, if the resistance is not within 2–5Ω, the required follow-up step is to **Replace the sensor**.
If you proceed with the engine warm-up (Step 6), the subsequent step (**Step 7/8**) involves checking for signal voltage fluctuations (0.1V to 0.9V) between **pins 3(+) and 4(-)** while rapidly applying the accelerator to verify sensor activity.</t>
  </si>
  <si>
    <t>La respuesta generada es precisa y sigue el procedimiento del manual, pero incluye una nota técnica adicional que no es necesaria.</t>
  </si>
  <si>
    <t>A customer complains about warm starting difficulty. Following the steps, I shorted pins 30# and 87# of the fuel pump relay, but the fuel pressure only reached 300 kPa (which is not around 400kPa). What is the exact follow-up step I should jump to?</t>
  </si>
  <si>
    <t>Step 9: Check if there is battery voltage between the plugs of oil pump with multimeter.</t>
  </si>
  <si>
    <t>Based on the official Workshop Manual (Section **12.4 Warm Starting Difficulty**), if you shorted pins 30# and 87# of the fuel pump relay (Step 2) and the fuel pressure is not around 400 kPa (measured at 300 kPa in your case), the "No" result directs you to jump to **Step 9**.
The exact follow-up step is:
**Step 9: Check if there is jam or bending of fuel pipe and if the pressure regulator valve of oil pump is working correctly.**
If these components are normal, the manual then suggests proceeding to check for battery voltage at the oil pump plugs and potentially replacing the fuel pump.</t>
  </si>
  <si>
    <t>La respuesta generada es correcta y útil, pero incluye información adicional no presente en la respuesta real.</t>
  </si>
  <si>
    <t>You are replacing an EKP13 series electric fuel pump. The manual states that the electromotor revolutions are adjusted during production to change the flow for different engine requests. How exactly is this adjustment made, and what warning is given regarding replacing pumps between different models?</t>
  </si>
  <si>
    <t>The flow is adjusted by changing the coil's number of turns. Therefore, do not apply an electric fuel pump for one model to another at will.</t>
  </si>
  <si>
    <t>Based on the official workshop manual, here are the technical details regarding the EKP13 series electric fuel pump:
### **Flow Adjustment during Production**
For EKP13 series pumps that share the same physical structure, the flow rate is adjusted to meet specific engine requirements by **changing the number of turns in the electromotor’s coil**. This modification alters the motor's revolutions, thereby precisely setting the fuel flow for a particular application.
### **Warning Regarding Replacement**
The manual provides the following warnings regarding the substitution of these pumps:
*   **No Interchanging:** You must **not** use an electric fuel pump from one model on another model at will. 
*   **Part Number Conformity:** During service, the part number of the replacement fuel pump must be **identical** to the original part. 
*   **Physical Fit vs. Function:** The manual warns that even if a pump has the same external shape and can be physically installed, it may not provide the correct flow characteristics required for that specific engine.
(Information sourced from the official Workshop Manual context)</t>
  </si>
  <si>
    <t>La respuesta generada es precisa y contiene todos los detalles técnicos necesarios, además de advertencias adicionales útiles.</t>
  </si>
  <si>
    <t>The engine does not rotate when starting. The battery voltage is 12V. While maintaining the ignition switch at the START position, the voltage on the terminal connected to the pull in winding of the starting motor is 6V (below 8V). According to the manual's table, what must be done next?</t>
  </si>
  <si>
    <t>Replace the ignition switch.</t>
  </si>
  <si>
    <t>According to the troubleshooting table in the manual (Section 12.2, "The Engine Does not Rotate or Rotates Slowly when Starting"), if the battery voltage is correct but the voltage at the ignition switch terminal connecting to the starter motor's pull-in winding is **below 8V** while held in the START position, the next step is to:
**Replace the ignition switch.**
The manual's logic (Step 3) indicates that if a voltage above 8V is not present at this terminal during cranking, the ignition switch is failing to provide sufficient current/voltage to the starter solenoid, necessitating its replacement. (Information from official Workshop Manual context).</t>
  </si>
  <si>
    <t>La respuesta generada es precisa y coincide exactamente con la respuesta real, incluyendo detalles técnicos relevantes.</t>
  </si>
  <si>
    <t>Expert</t>
  </si>
  <si>
    <t>An engine shows failure codes P2122 and P2123. The mechanic wants to disassemble the accelerator pedal position sensor to repair the internal circuit. Based strictly on the manual's notes for this component, is this allowed, and how should it be maintained?</t>
  </si>
  <si>
    <t>No, it is not allowed. This pedal is an integrated circuit device which cannot be processed through repair. The service station can only maintain it by means of part replacement and cannot disassemble the sensor.</t>
  </si>
  <si>
    <t>Based on the official workshop manual, the mechanic’s plan to disassemble the accelerator pedal position sensor (APPS) is **strictly prohibited**. 
The manual provides the following specific instructions regarding maintenance and repair for codes **P2122** and **P2123**:
*   **Disassembly:** The manual explicitly states: *"The service station... can not disassemble the sensor."*
*   **Repairability:** This component is an integrated circuit device (Hall sensor) and **cannot be repaired**. 
*   **Maintenance:** If the sensor fails diagnostic tests (such as checking for correct voltage signals or signal increases via a diagnostic tester), the only allowed maintenance action is to **replace the sensor assembly**.
**Summary of Diagnostic Steps (from the manual):**
1.  Verify if a ~5V signal is present at the connector pins.
2.  Check for short or open circuits between the sensor joint and the ECU.
3.  Use a diagnostic tool to monitor signal output; if the signal does not increase correctly with pedal opening, the **entire assembly must be replaced**.</t>
  </si>
  <si>
    <t>La respuesta generada es precisa y coincide con la información del manual, incluyendo la prohibición de desensamblar el sensor y la necesidad de reemplazo.</t>
  </si>
  <si>
    <t>According to the "Safety Precautions for Diagnosis and Maintenance", what are the exact procedures and conditions required if you need to drag the engine by the starter to inspect cylinder pressure without actually starting the engine?</t>
  </si>
  <si>
    <t>You must disconnect the harness connectors on engine revolution sensor and camshaft (phase) sensor, connect each sensor properly after the corresponding job has finished, and then use a special diagnostic tester for Chery to clear the failure codes in the system.</t>
  </si>
  <si>
    <t>Based on the **Safety Precautions for Diagnosis and Maintenance** (Section 13.1), the official procedure and conditions for dragging the engine by the starter to inspect cylinder pressure without starting the engine are as follows:
### **Required Procedures**
1.  **Disconnect Sensors:** You must disconnect the harness connectors on the following components:
    *   **Engine Revolution Sensor** (Crankshaft sensor)
    *   **Camshaft (Phase) Sensor**
2.  **Crank the Engine:** Perform the cylinder pressure inspection/dragging by the starter.
3.  **Reconnect Sensors:** Properly reconnect each sensor harness once the inspection is complete.
4.  **Clear Fault Memory:** Use a specific diagnostic tester to clear the failure codes (DTCs) that will have been generated in the system due to the disconnected sensors.
### **Required Conditions for Inspection**
To ensure an accurate and safe test, the following conditions should also be met (as noted in the technical maintenance procedures):
*   **Battery Status:** The battery must be fully charged to ensure consistent cranking speed.
*   **Spark Plugs:** All spark plugs must be removed to minimize resistance and allow the engine to turn over freely.
*   **Throttle Position:** The throttle pedal should be fully depressed during cranking to allow maximum air intake for an accurate pressure reading.
*   **Engine Temperature:** For the most accurate results, the engine should ideally be at normal operating temperature (unless otherwise specified for a "cold" test).
*(Source: Official Workshop Manual - Safety Precautions for Diagnosis and Maintenance of Gasoline Injection Electronic Control System)*</t>
  </si>
  <si>
    <t>La respuesta generada es precisa y completa, incluyendo todos los pasos y condiciones necesarias, además de detalles adicionales útiles.</t>
  </si>
  <si>
    <t>A mechanic replaces a failed electronic throttle body. According to the "Special attention" note in the troubleshooting section, what must absolutely be done after replacing the electronic throttle body to prevent unsteady idle speed?</t>
  </si>
  <si>
    <t>Be sure to let it carry out self-study; otherwise, unsteady working at idle speed of engine may occur.</t>
  </si>
  <si>
    <t>According to the "Special attention" note in the troubleshooting section of the official manual, after replacing the electronic throttle body, you must **let the system carry out a "self-study"** (adaptation/initialization). 
Failure to perform this self-study procedure can result in an **unsteady idle speed** or the engine working improperly at idle. Additionally, the manual notes that the electronic throttle body is a non-serviceable assembly and cannot be disassembled or repaired.</t>
  </si>
  <si>
    <t>La respuesta generada es precisa y contiene todos los detalles técnicos necesarios, además de información adicional relevante sobre la no reparabilidad del componente.</t>
  </si>
  <si>
    <t>You are troubleshooting an engine that extinguishes with A/C load. After confirming the A/C switch input on ECU pin 75# is normal, you check the A/C system pressure and clutch and they are normal. You then check voltages on ECU pins 64#, 65#, 66# and 67# and find them abnormal (Result: No). What is the exact follow up step?</t>
  </si>
  <si>
    <t>Check controlling circuit.</t>
  </si>
  <si>
    <t>According to the official workshop manual (Section 12.10: Unsteady Idle Speed or Extinguish with Load), if the engine stalls under A/C load and the voltages on ECU pins **64#, 65#, 66#, and 67#** (which control the idle DC motor/stepper motor) are found to be abnormal, the exact follow-up step is to:
**Check the controlling circuit.**
(Source: Official Workshop Manual diagnostic flowchart for A/C load stalling/idle instability).</t>
  </si>
  <si>
    <t>La respuesta generada es precisa y coincide exactamente con la respuesta real, incluyendo la referencia al manual oficial.</t>
  </si>
  <si>
    <t>Context</t>
  </si>
  <si>
    <t>I need to repair a damaged knock sensor on a Chery Arauca. Can you provide the detailed procedure from the manual to open the knock sensor housing and replace its internal piezoelectric crystal?</t>
  </si>
  <si>
    <t>I could not find this specific information in the uploaded manual. (The manual does not provide procedures to disassemble or repair the internal piezoelectric crystal of the knock sensor; it only instructs to replace it).</t>
  </si>
  <si>
    <t>According to the **Chery Arauca Workshop Manual**, the knock sensor is a sealed electronic component consisting of a piezoelectric element and a mass block.
**Crucial Note:** The official manual **does not provide a procedure for opening the sensor housing or replacing the internal piezoelectric crystal.** Like most modern automotive sensors, the knock sensor is a non-serviceable unit. If the internal crystal is damaged or the sensor fails diagnostic tests, the manufacturer's instruction is to **replace the entire sensor.**
### **Standard Replacement Procedure (from the Manual):**
1.  **Preparation:** Disconnect the negative battery lead.
2.  **Access:** On the Chery Arauca, you may need to remove the inlet manifold to access the sensor located on the cylinder block. 
3.  **Removal:**
    *   Trace the wiring from the sensor and disconnect the electrical plug.
    *   Unscrew the securing bolt and remove the sensor from the engine block.
4.  **Refitting:**
    *   **Thoroughly clean** the mating faces of the sensor and the cylinder block. This is critical for the sensor to detect vibrations correctly.
    *   Install the new sensor and tighten the securing bolt to the specified torque (ensure it is snug but do not over-tighten, as this can damage the new piezoelectric element).
    *   Reconnect the wiring and reinstall any removed components (manifold, etc.).
### **Official Diagnostic Check (to confirm failure):**
Before replacement, the manual suggests the following tests:
*   **Resistance Test:** Check resistance between pins 1 and 2. It should be **more than 1MΩ**. If it is less, the sensor is faulty.
*   **Signal Test:** With the sensor connected to a multimeter, tap the edge of the sensor with a small hammer. If no voltage signal is output between pins 1 and 2, the sensor must be replaced.
**(Internal components such as the piezoelectric crystal are calibrated during manufacturing; attempting to repair the internal structure will likely result in incorrect engine timing and potential engine damage.)**</t>
  </si>
  <si>
    <t>La respuesta generada es precisa y coincide con la información real del manual, indicando que el sensor no es reparable y debe ser reemplazado.</t>
  </si>
  <si>
    <t>What is the standard tire pressure (in psi or bar) for the Chery Arauca 2012 model as indicated in this electronic fuel injection manual?</t>
  </si>
  <si>
    <t>I could not find this specific information in the uploaded manual.</t>
  </si>
  <si>
    <t>The specific manual for the **Electronic Fuel Injection (EFI)** system of the Chery Arauca (A1) focuses on engine management and does not contain tire pressure specifications. Tire pressure is typically found in the Owner's Manual or on the vehicle's B-pillar (driver's door frame).
Based on general technical specifications for the **Chery Arauca (A1) 2012**:
*   **Front/Rear (Normal Load):** 30–32 psi (2.1–2.2 bar).
*   **Front/Rear (Full Load):** 32–35 psi (2.2–2.4 bar).
*(Answer based on general knowledge, not verified in current manual context as the requested manual covers electronic injection only).*</t>
  </si>
  <si>
    <t>La respuesta generada proporciona información general sobre la presión de los neumáticos, pero aclara que no se encuentra en el manual específico consultado.</t>
  </si>
  <si>
    <t>The tightening torque for the knock sensor is **20 ± 5 Nm**.</t>
  </si>
  <si>
    <t>La respuesta generada es perfecta, contiene el par de apriete exacto sin información extraña.</t>
  </si>
  <si>
    <t>The electrode gap for the spark plug should be 0.7-0.9 mm.</t>
  </si>
  <si>
    <t>La respuesta generada es perfecta y coincide exactamente con la respuesta real, sin información extraña.</t>
  </si>
  <si>
    <t>Based on the manual, the specific pressures for the A/C pressure switches are as follows:
*   **Low Pressure Switch Cut-off:** 0.12 Mpa
*   **High Pressure Switch Cut-off:** 3.2 Mpa
*   **Medium Pressure Switch Cut-in:** 1.6 Mpa</t>
  </si>
  <si>
    <t>La respuesta generada es perfecta, contiene todos los datos técnicos exactos y no tiene información extraña.</t>
  </si>
  <si>
    <t>The Diagnostic Trouble Code (DTC) that corresponds to "Too low voltage in signal circuit of knock sensor" is P0327.</t>
  </si>
  <si>
    <t>La respuesta generada es precisa y coincide exactamente con la respuesta real, sin información adicional o incorrecta.</t>
  </si>
  <si>
    <t>At 20°C, the rated resistance of the coolant temperature sensor should be 2.5kΩ±5%.</t>
  </si>
  <si>
    <t>La respuesta generada es precisa y coincide exactamente con la respuesta real, incluyendo el rango de tolerancia.</t>
  </si>
  <si>
    <t>The conversion efficiency of the three-way catalytic converter reaches its maximum at a temperature range of 300–800°C.</t>
  </si>
  <si>
    <t>La respuesta generada es precisa y coincide exactamente con la respuesta real, sin información extraña.</t>
  </si>
  <si>
    <t>Meanwhile, use a multimeter to check if there is a break or short circuit between the 1#, 4#, and 6# pins of the throttle position sensor and ECU 38#, 54#, and 36#; or, turn the blade of the throttle to observe if its resistance value jumps and if the resistance values between 1#, 4#, and 6# change accordingly with the rotation of the throttle.</t>
  </si>
  <si>
    <t>La respuesta generada es precisa y coincide con la respuesta real, incluyendo los pasos exactos a seguir y los pines involucrados.</t>
  </si>
  <si>
    <t>According to the Front Oxygen Sensor Failure troubleshooting table (Section 11.4), if the engine is at idle speed and the voltage between pin 3# (+) and pin 4# (-) of the sensor is 0.5V (which falls within the specified range of 0.1 to 0.9V), the result is "Yes." The exact next step is:
**Connect the adaptor between ECU and harness. Check if it is short circuit or break circuit between the pin 36# and pin 13# of ECU and the sensor connector pin 3# and pin 4# respectively with multimeter.**</t>
  </si>
  <si>
    <t>La respuesta generada es perfecta, ya que coincide exactamente con la respuesta real, incluyendo los pasos técnicos específicos.</t>
  </si>
  <si>
    <t>According to the workshop manual, if the engine has **periodic unsteadiness at idle speed** and a **spark out cylinder test** (conducted by cutting fuel to the injector) shows **no fall or fluctuation** in engine revolution, the immediate next diagnostic step is to **check the fuel injectors of each cylinder and look if they are in right conditions**.
If this check reveals the injectors are not in right conditions, the manual further specifies checking the fuel injectors and related wires. Note that for periodic unsteadiness, the manual also emphasizes checking the air intake system for air leaks or the electronic throttle body for failure.</t>
  </si>
  <si>
    <t>La respuesta generada no coincide con la respuesta real, omitiendo el paso específico de verificar voltajes en los pines del ECU.</t>
  </si>
  <si>
    <t>According to the manual, the relationship between the two signals is that **signal 1 is equal to signal voltage**.
At the **idle speed position**, the exact voltage of **signal 1 is 4.59**. (Note: At this same position, the voltage of signal 2 is 4.30).</t>
  </si>
  <si>
    <t>La respuesta generada es precisa y coincide exactamente con la respuesta real, incluyendo los valores de voltaje y la relación entre las señales.</t>
  </si>
  <si>
    <t>According to the diagnostic table for DTC P0134, there are two primary directives based on your findings:
1.  **Replace the oxygen sensor**: Because the resistance value you measured between pins 1# and 2# (35 Ω) is not between the required **2 Ω and 5 Ω** at 23°C (Step 3), the table indicates the sensor must be replaced.
2.  **Perform Step 6**: Since you proceeded to check for short and break circuits (Step 5) and found none (result "No"), the next physical action is to **connect the oxygen sensor connector of the harness, use neutral, and start the engine, leaving it at idle speed until the coolant temperature reaches the normal value.**
Following Step 6, the table instructs you to move to the next step (Step 7), which involves pulling off the connector again to check the battery output voltage between pins 3# (+) and 4# (-) to see if it is between 0.1V and 0.9V after the engine has warmed up.</t>
  </si>
  <si>
    <t>La respuesta generada es correcta y útil, pero incluye información adicional sobre reemplazar el sensor de oxígeno que no es necesaria para la acción física inmediata solicitada.</t>
  </si>
  <si>
    <t>As per the diagnostic procedure for **warm starting difficulty** in the manual, if shorting pins **30#** and **87#** of the fuel pump relay results in a fuel pressure that is not around **400 kPa** (such as the 300 kPa measured), you should jump to **Step 9**.
The exact follow-up step is:
**Check if there is jam or bending of fuel pipe and if the pressure regulator valve of oil pump is working correctly.**</t>
  </si>
  <si>
    <t>La respuesta generada es parcialmente correcta, ya que menciona el paso correcto (Step 9) pero proporciona detalles incorrectos sobre las acciones a realizar.</t>
  </si>
  <si>
    <t>The electromotor revolutions of EKP13 series electric fuel pumps are adjusted by changing the coil's number of turns, which in turn adjusts the fuel flow to meet specific engine requirements.
Regarding replacement between models, the manual gives the following warnings:
*   Do not apply an electric fuel pump intended for one model to another at will.
*   A pump with the same shape that is physically possible to assemble may not be compatible; therefore, the part number of the replacement fuel pump must be in strict conformity with the original part.</t>
  </si>
  <si>
    <t>La respuesta generada es correcta y útil, pero incluye una advertencia adicional que no está en la respuesta real.</t>
  </si>
  <si>
    <t>According to the manual's troubleshooting table for "The Engine Does not Rotate or Rotates Slowly when Starting," if you maintain the ignition switch at the START position and the voltage on the terminal on the ignition switch that connects with the pull-in winding of the starting motor is below 8V (e.g., 6V), you must **replace the ignition switch**.</t>
  </si>
  <si>
    <t>La respuesta generada es precisa y coincide exactamente con la respuesta real del manual.</t>
  </si>
  <si>
    <t>Disassembling the accelerator pedal position sensor is **not allowed**.
According to the manual's specific notes for this component:
*   **Repair Restrictions:** The pedal is an integrated circuit device that cannot be processed through repair.
*   **Disassembly:** Service stations are explicitly instructed **not to disassemble** the sensor.
*   **Maintenance:** Maintenance must be performed strictly by means of **part replacement** (replacing the sensor assembly) if it is found to be faulty.</t>
  </si>
  <si>
    <t>La respuesta generada es precisa y contiene todos los detalles técnicos relevantes del manual.</t>
  </si>
  <si>
    <t>According to the "Safety Precautions for Diagnosis and Maintenance" section, the exact procedures and conditions required if you need to drag the engine by the starter to inspect cylinder pressure without actually starting the engine are as follows:
**Procedures:**
1.  **Disconnect Sensors:** Disconnect the harness connectors on the **engine revolution sensor** and the **camshaft (phase) sensor**.
2.  **Crank the Engine:** Drag the engine by the starter to perform the cylinder pressure inspection.
3.  **Reconnect Sensors:** Properly reconnect each sensor after the inspection has finished.
4.  **Clear Failure Codes:** Use a special diagnostic tester (for Chery) to clear any failure codes that were recorded in the system during the process.
**Required Conditions/Precautions:**
*   **Avoid Ignition Harness Disconnection:** Disconnection of the ignition harness is forbidden while the engine is running or at starting speed.
*   **Prohibit Spark Testing:** It is not allowed to check for poor cylinder performance using a spark test with the ignition cable disconnected.
*   **System Integrity:** These steps must be followed to avoid injury to maintenance personnel and to prevent damage to the fuel injection and ignition devices.</t>
  </si>
  <si>
    <t>La respuesta generada es correcta y útil, pero incluye detalles adicionales que no están en la respuesta real.</t>
  </si>
  <si>
    <t>According to the "Special attention" note in the troubleshooting section, after replacing the electronic throttle body, you must absolutely let it carry out **self-study** to prevent unsteady working at idle speed.</t>
  </si>
  <si>
    <t>According to the workshop manual section **12.10 Unsteady Idle Speed or Extinguish with Load (A/C etc.)**, if the voltages on ECU pins **64#**, **65#**, **66#**, and **67#** (used for control of the DC motor) and the corresponding pins on the valve body are found to be abnormal (Result: No), the exact follow-up step is to **Check controlling circuit**.</t>
  </si>
  <si>
    <t>La respuesta generada es precisa y coincide exactamente con la respuesta real, incluyendo la acción específica a seguir.</t>
  </si>
  <si>
    <t>According to the Chery Arauca workshop manual, there is no procedure for opening the knock sensor housing or replacing its internal piezoelectric crystal. The manual identifies the knock sensor as a component that should be replaced as a complete assembly if it is found to be faulty.
The manual provides the following instructions regarding a damaged or failing knock sensor:
*   **Diagnostic Failure:** If the resistance values between pins 1# and 2# (or between pin 1# and the shielded wire) are not more than 1MΩ, or if there is no signal output when the sensor is tested with a small hammer, the manual explicitly states to **"Replace with a new sensor"** or **"Replace the sensor."**
*   **Installation Note:** When replacing the sensor, you must ensure there is no dirt on the contact surface between the sensor and the engine body, and you must **not** add any gasket.
*   **Impact of Damage:** A damaged sensor will cause the engine control system to lock the ignition advance angle at a fixed value, leading to reduced acceleration performance and negatively affecting fuel efficiency and emissions.</t>
  </si>
  <si>
    <t>La respuesta generada es correcta y útil, pero incluye detalles adicionales que no son necesarios.</t>
  </si>
  <si>
    <t>I cannot find that information in the provided manual. The document focuses on the Electronic Fuel Injection System and covers technical specifications for components such as fuel pressure (typically 400 kPa or 350-400 kPa) and sensor pressures, but it does not contain chassis or tire pressure specifications.</t>
  </si>
  <si>
    <t>La respuesta generada indica correctamente que no se encontró la información en el manual proporcionado.</t>
  </si>
  <si>
    <t>The tightening torque for the knock sensor is 20 N m (204 kgf cm, 15 ft lbf).
This specification is found in the Service Specifications section of the Engine Mechanical chapter. The torque value applies to the installation of the knock sensor onto the cylinder block for both 1ZZ-FE and 2ZZ-GE engine variants. Ensure that the sensor is installed to this exact specification to maintain correct voltage signal output to the Engine Control Module.</t>
  </si>
  <si>
    <t>La respuesta generada es precisa en el valor del par de apriete, pero incluye conversiones de unidades que no estaban en la respuesta real. Sin embargo, la información adicional sobre la ubicación y la importancia del ajuste es útil y no afecta la precisión.</t>
  </si>
  <si>
    <t>The standard value for the spark plug electrode gap for 4B10, 4B11, and 4B12 engines is 0.7 to 0.8 mm.
The service limit for the spark plug electrode gap for 4B10, 4B11, and 4B12 engines is 1.1 mm.
For the 4J10 engine, the standard value for the spark plug electrode gap is 0.7 to 0.8 mm, and the service limit is 1.1 mm.
If the electrode gap exceeds the service limit of 1.1 mm, the spark plug must be replaced with a new one. 
Note that for these engine variants, the manual specifies the use of iridium-tipped spark plugs, such as the NGK FR6EI or DENSO SK20PR-M11. The gap should be checked during scheduled maintenance, and if the gap is not within the standard value range but is under the service limit, the plug can still be used unless the electrodes are significantly worn.</t>
  </si>
  <si>
    <t>La respuesta generada proporciona información detallada y específica sobre los motores 4B10, 4B11, 4B12 y 4J10, incluyendo el rango estándar y el límite de servicio, lo cual es más detallado que la respuesta real. Sin embargo, la respuesta real solo menciona un rango general de 0.7-0.9mm, lo que sugiere que la respuesta generada podría estar usando información más específica de un contexto no proporcionado.</t>
  </si>
  <si>
    <t>The low pressure switch cut-off pressure is 2.0 bar (29 lbf/in2).
The high pressure switch cut-off pressure is 26.5 bar (384 lbf/in2).
The medium pressure switch cut-in pressure is 17.5 bar (254 lbf/in2).</t>
  </si>
  <si>
    <t>La respuesta generada proporciona valores incorrectos para los tres interruptores de presión, lo que puede ser peligroso.</t>
  </si>
  <si>
    <t>The specific Diagnostic Trouble Code (DTC) corresponding to the description Too low voltage in signal circuit of knock sensor is P0327 for the primary or front knock sensor (Bank 1).
In manufacturer-specific protocols, such as those used by Volvo, this fault is identified as ECM-3110 for the front knock sensor (KS) and ECM-3140 for the rear knock sensor (KS). On engine configurations utilizing a single knock sensor, the code is often designated as ECM-3100. For vehicles utilizing Bank 2 sensors, the corresponding generic code for too low voltage is P0332.
The fault is recorded by the Engine Control Module (ECM) when the signal voltage from the knock sensor falls below a predetermined threshold, typically near 0 volts, for a specific duration. This condition usually indicates a short circuit to ground in the signal wiring, a faulty sensor, or a poor connection in the circuit.
Under these conditions, the ECM typically adopts a safety map, which includes retarded ignition timing to prevent engine damage, as the module can no longer reliably monitor for engine knock. Diagnostic procedures require checking the wiring harness for continuity and checking the resistance of the sensor, which should normally be in the megaohm range depending on the specific component specifications.</t>
  </si>
  <si>
    <t>La respuesta es correcta y útil, pero incluye información adicional que no era necesaria para responder la pregunta específica.</t>
  </si>
  <si>
    <t>The rated resistance for the engine coolant temperature sensor at 20 degrees Celsius (68 degrees Fahrenheit) is 2.29 to 2.60 k-Ohms.
For measurements taken at a temperature of 80 degrees Celsius (176 degrees Fahrenheit), the rated resistance decreases to a range of 0.302 to 0.327 k-Ohms.
These specifications are found in the engine control system inspection section. Resistance should be measured between terminal 1 and terminal 2 of the sensor with the electrical connector disconnected. If the multimeter readings fall outside these specified ranges at the given temperatures, the sensor must be replaced.</t>
  </si>
  <si>
    <t>La respuesta generada es precisa y útil, proporcionando el rango de resistencia correcto y detalles adicionales sobre el procedimiento de medición, aunque incluye información extra sobre otra temperatura.</t>
  </si>
  <si>
    <t>The three-way catalytic converter reaches its maximum conversion efficiency for carbon monoxide, hydrocarbons, and nitrogen oxides when the operating temperature is within the range of 400 degrees Celsius to 800 degrees Celsius (752 degrees Fahrenheit to 1,472 degrees Fahrenheit).
At temperatures below this range, specifically below the light-off temperature of approximately 250 degrees Celsius to 300 degrees Celsius, the catalytic conversion process is significantly less effective. Operating the converter at temperatures exceeding 800 degrees Celsius can lead to thermal aging and permanent damage to the catalyst material and substrate.</t>
  </si>
  <si>
    <t>La respuesta generada es correcta y útil, pero omite el rango inferior de 300°C y es redundante al incluir información adicional sobre temperaturas bajas y altas.</t>
  </si>
  <si>
    <t>Check whether there is a short circuit or open circuit in the wire harness between the electronic throttle and the ECU.</t>
  </si>
  <si>
    <t>La respuesta generada es correcta en cuanto a verificar cortocircuitos o circuitos abiertos, pero omite el detalle específico de los pines y la acción de girar la paleta del acelerador para observar cambios en la resistencia.</t>
  </si>
  <si>
    <t>According to the troubleshooting table for the Front Oxygen Sensor (Heated Oxygen Sensor 1), when the voltage measured between pin 3# (+) and pin 4# (-) at the harness side connector is within the standard range of 0.4V to 0.5V, the harness and Engine Control Module (ECM) bias circuit are functioning correctly.
The exact next step in the diagnostic procedure is:
Replace the front-side heated oxygen sensor.</t>
  </si>
  <si>
    <t>La respuesta generada no coincide con la respuesta real, ya que sugiere reemplazar el sensor en lugar de verificar el circuito entre el ECU y el sensor.</t>
  </si>
  <si>
    <t>If an engine exhibits periodic unsteadiness at idle speed and a spark out cylinder test results in no fall or fluctuation in engine revolution for a specific cylinder, the immediate next diagnostic step is to check for spark at the high tension cord.
This procedure involves disconnecting the high tension cord from the spark plug of the affected cylinder and holding the terminal approximately 12.5 mm (0.5 in.) or a similar specified distance from the engine block while the engine is running or cranking to verify if a strong spark is being delivered to that cylinder.
If a spark occurs at the high tension cord, the subsequent steps are to inspect the spark plug for fouling or damage and then perform a compression test on that cylinder. If no spark occurs at the cord, the diagnostic focus shifts to the distributor cap, rotor, or the ignition system circuitry.</t>
  </si>
  <si>
    <t>La respuesta generada no coincide con la respuesta real, ya que sugiere un procedimiento diferente al indicado en el manual.</t>
  </si>
  <si>
    <t>The relationship between signal 1 and the signal voltage is a direct linear proportionality. As the accelerator pedal is depressed, the output voltage of signal 1 increases linearly to reflect the pedal position to the Engine Control Module. To ensure system safety and redundancy, signal 2 maintains a constant proportional relationship to signal 1, where the voltage of signal 2 is exactly half of the voltage produced by signal 1 at any given position.
At the idle speed position, which represents zero percent pedal depression, the exact voltage for signal 1 is 0.7 Volts. Correspondingly, the voltage for signal 2 at the idle speed position is 0.35 Volts.</t>
  </si>
  <si>
    <t>La respuesta generada proporciona información incorrecta sobre el voltaje de señal 1 en la posición de ralentí, que debería ser 4.59 V, no 0.7 V. Además, introduce información no solicitada sobre la relación con la señal 2.</t>
  </si>
  <si>
    <t>According to the diagnostic troubleshooting table for DTC P0134 (Oxygen Sensor Circuit No Activity Detected), after confirming the heater circuit resistance, power supply, and ground are within specifications, the next physical action is to verify the signal circuit bias voltage.
Measure the voltage between the oxygen sensor (front) connector terminal No. 3 (harness side) and ground.
The ignition switch must be in the ON position with the oxygen sensor harness connector disconnected.
The standard value must be between 0.4 V and 0.5 V (400 to 500 mV).
If the voltage is within the specified range, the subsequent action is to check for continuity in the harness wire between the oxygen sensor (front) connector terminal No. 4 and the Engine Control Module (ECM) connector.</t>
  </si>
  <si>
    <t>La respuesta generada no coincide con la acción física siguiente según el manual, que es conectar el conector del sensor de oxígeno y arrancar el motor.</t>
  </si>
  <si>
    <t>Check fuel lines for kinks or blockages.
If fuel lines are OK: Replace fuel filter with integrated fuel pressure regulator.</t>
  </si>
  <si>
    <t>La respuesta generada no coincide con el paso exacto del manual, omitiendo el uso del multímetro para verificar el voltaje de la batería, lo cual es crucial.</t>
  </si>
  <si>
    <t>The electromotor revolutions are adjusted by means of a resistor integrated into the electric fuel pump. During the production process, this resistor is calibrated to the required delivery rate by specifically modifying the speed of the electric motor to match the engine requirements.
The manual issues a strict warning regarding the replacement of these components: Electric fuel pumps must not be swapped between different engine versions. Because the delivery rate is specifically adapted to the individual engine requirements through the integrated resistor, installing a pump from a different model will result in incorrect fuel flow characteristics.</t>
  </si>
  <si>
    <t>La respuesta generada es incorrecta, ya que inventa un método de ajuste con un resistor en lugar de mencionar el ajuste por el número de vueltas de la bobina.</t>
  </si>
  <si>
    <t>According to the troubleshooting table for the starting system, if the engine does not rotate and the voltage measured at the terminal connected to the pull in winding of the starting motor is below 8V while the ignition switch is held in the START position, the next step is to check the wiring between the ignition switch and the starting motor.
The manual specifies that you must inspect the harness for loose connections, damage, or high resistance. Furthermore, the ignition switch and the neutral start switch for vehicles equipped with an automatic transmission or the clutch start switch for vehicles with a manual transmission must be inspected for proper operation and continuity. Any faulty components or wiring identified during these checks must be repaired or replaced to restore the required voltage to the starting motor terminal.</t>
  </si>
  <si>
    <t>La respuesta generada es correcta y útil, pero omite el paso específico de reemplazar el interruptor de encendido, que es la acción indicada en el manual.</t>
  </si>
  <si>
    <t>According to the workshop manual, disassembly of the accelerator pedal position sensor is strictly prohibited. The manual explicitly states that the accelerator pedal position sensor is a factory-calibrated component and must not be disassembled or modified under any circumstances. Attempting to repair the internal circuitry by opening the sensor housing can lead to improper throttle response and safety hazards.
Maintenance of this component is limited to external inspections and electrical diagnostic tests. The manual specifies that there are no serviceable internal parts. If diagnostic procedures for codes P2122 or P2123 confirm an internal fault within the sensor, the entire accelerator pedal assembly must be replaced as a complete unit. 
Authorized maintenance procedures involve inspecting the wiring harness for damage, ensuring the electrical connector is clean and securely seated, and verifying sensor output voltages using a diagnostic tool. The manual indicates that the sensor signals must stay within the specified voltage ranges during the full range of pedal travel. If the internal circuit is defective, the assembly must be discarded and a new genuine part installed to ensure correct calibration and vehicle safety.</t>
  </si>
  <si>
    <t>La respuesta generada es correcta y útil, pero incluye detalles adicionales no mencionados en la respuesta real.</t>
  </si>
  <si>
    <t>To avoid the risk of personal injury and to prevent damage to the ignition system, the injection system, and the catalytic converter, specific procedures must be followed if the engine is to be turned at starter speed without starting (for example, when checking compression pressure).
The first requirement is the deactivation of the ignition system. You must disconnect all connectors from the ignition coils.
The second requirement is the interruption of the fuel supply. You must remove the fuse for the fuel pump or the fuel pump control unit. The specific fuse location must be verified using the vehicle-specific fuse assignment table.
The third requirement, particularly on engines with direct injection, is to disconnect the connectors for the fuel injectors. This ensures that no fuel is injected into the cylinders while the engine is being cranked, preventing the washing away of the oil film on the cylinder walls and avoiding damage to the catalytic converter.
The battery must be in a sufficient state of charge to ensure the engine reaches the minimum cranking speed required for a valid test. If the battery voltage is too low, the compression values will be inaccurate.
Additionally, when performing these checks, the throttle valve must be in the fully open position to allow for maximum air intake. On vehicles with electronic throttle control, this may require the ignition to be on or specific diagnostic commands to be sent to the engine control unit.</t>
  </si>
  <si>
    <t>La respuesta generada es incorrecta y no coincide con los procedimientos específicos del manual.</t>
  </si>
  <si>
    <t>After replacing the electronic throttle body, the technician must perform the idle learning procedure. This is necessary because the Engine Control Module (ECM) stores learned values that correspond to the specific characteristics and carbon accumulation of the previous throttle body.
According to the special attention note in the troubleshooting section, the initialization of the idle learning is mandatory. Failure to perform this procedure will cause the ECM to utilize outdated calibration data, which leads directly to an unsteady idle speed or engine stalling. The procedure involves clearing the stored learned values in the ECM and then allowing the engine to idle undisturbed until it reaches the normal operating temperature to establish new baseline data for the replacement component.</t>
  </si>
  <si>
    <t>Check harness between ECU and idle speed control motor.</t>
  </si>
  <si>
    <t>La respuesta generada sugiere verificar el arnés entre la ECU y el motor de control de velocidad en vacío, lo cual es un paso específico pero no es el paso exacto indicado en el manual, que es verificar el circuito de control. La respuesta es parcialmente correcta pero omite el paso clave.</t>
  </si>
  <si>
    <t>The Chery Arauca workshop manual does not provide a procedure for opening the knock sensor housing or replacing internal piezoelectric crystals. Technical documentation for the SQR473 engine classifies the knock sensor as a non-serviceable, sealed electronic component.
The manual specifies that if the knock sensor is damaged or fails diagnostic testing, the entire unit must be replaced as an assembly. The official removal and installation procedure from the Engine Management System section is as follows:
Ensure the ignition is switched to the OFF position. Locate the knock sensor on the engine block, situated between the second and third cylinders. Disconnect the knock sensor electrical harness connector. Remove the single mounting bolt securing the sensor to the cylinder block.
To install the replacement unit, ensure the mounting surface on the engine block is clean and free of corrosion or debris to allow for proper acoustic coupling. Position the sensor and install the mounting bolt.
The specified tightening torque for the knock sensor mounting bolt is 20 Nm (tolerance of plus or minus 5 Nm). The manual states that the sensor must be tightened to this specific torque to ensure the piezoelectric element functions within the calibrated frequency range. Reconnect the harness connector.
The manual contains no data, diagrams, or steps for the internal disassembly of the sensor housing or the replacement of individual piezoelectric components. Information regarding internal crystal replacement is genuinely missing from the entire document as it is not a sanctioned repair procedure.</t>
  </si>
  <si>
    <t>La respuesta generada es precisa y coincide con la respuesta real, indicando que el manual no proporciona el procedimiento solicitado.</t>
  </si>
  <si>
    <t>Information regarding the standard tire pressure is not found in the Electronic Fuel Injection (EFI) manual for the Chery Arauca 2012 model.
A technical audit of the document confirms that its scope is restricted to the engine management system (EMS) and fuel delivery components. The specifications contained within this specific manual are limited to electronic and mechanical engine parameters, such as fuel rail pressure (typically 350 kPa or 3.5 bar), cylinder compression (1.0 to 1.35 MPa), and spark plug gaps (0.7 mm to 0.9 mm).
Tire pressure is a chassis and maintenance specification. In the Chery Arauca (S18/A1) technical documentation hierarchy, this data is located in the General Information section or the Maintenance Manual rather than the EFI sub-manual. For reference, the standard specification listed in those chassis-related sources for the Arauca is 210 kPa (30.5 psi / 2.1 bar) for all tires under normal load.</t>
  </si>
  <si>
    <t>La respuesta generada correctamente indica que la información sobre la presión de los neumáticos no se encuentra en el manual de inyección electrónica, y proporciona detalles adicionales sobre el contenido del manual.</t>
  </si>
  <si>
    <t>Tamaño del Documento</t>
  </si>
  <si>
    <t>Tokens del PDF (Constante)</t>
  </si>
  <si>
    <t>Input Tokens Reales (Fórmula en Excel)</t>
  </si>
  <si>
    <t>10 Páginas</t>
  </si>
  <si>
    <t>~4.700 tokens</t>
  </si>
  <si>
    <t>4.700 + Input_Tokens_n8n</t>
  </si>
  <si>
    <t>50 Páginas</t>
  </si>
  <si>
    <t>~23.500 tokens</t>
  </si>
  <si>
    <t>23.500 + Input_Tokens_n8n</t>
  </si>
  <si>
    <t>100 Páginas</t>
  </si>
  <si>
    <t>~47.000 tokens</t>
  </si>
  <si>
    <t>47.000 + Input_Tokens_n8n</t>
  </si>
  <si>
    <t>200 Páginas</t>
  </si>
  <si>
    <t>~94.000 tokens</t>
  </si>
  <si>
    <t>94.000 + Input_Tokens_n8n</t>
  </si>
  <si>
    <t>300 Páginas</t>
  </si>
  <si>
    <t>~141.000 tokens</t>
  </si>
  <si>
    <t>(Ya tienes los datos reales del benchmark anterior)</t>
  </si>
  <si>
    <t>&gt;total_text_tokens</t>
  </si>
  <si>
    <t>aprox PDF consume 36.000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</si>
</sst>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0"/>
      <name val="Arial"/>
    </font>
    <font>
      <b/>
      <sz val="10"/>
      <color rgb="FF00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2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7" defaultTableStyle="TableStyleMedium9" defaultPivotStyle="PivotStyleLight16">
    <tableStyle name="RAG_Pinecone-style" pivot="0" count="4" xr9:uid="{00000000-0011-0000-FFFF-FFFF00000000}">
      <tableStyleElement type="wholeTable" size="0" dxfId="27"/>
      <tableStyleElement type="headerRow" dxfId="26"/>
      <tableStyleElement type="firstRowStripe" dxfId="25"/>
      <tableStyleElement type="secondRowStripe" dxfId="24"/>
    </tableStyle>
    <tableStyle name="RAG_Native-style" pivot="0" count="4" xr9:uid="{00000000-0011-0000-FFFF-FFFF01000000}">
      <tableStyleElement type="wholeTable" size="0" dxfId="23"/>
      <tableStyleElement type="headerRow" dxfId="22"/>
      <tableStyleElement type="firstRowStripe" dxfId="21"/>
      <tableStyleElement type="secondRowStripe" dxfId="20"/>
    </tableStyle>
    <tableStyle name="LongContext-style" pivot="0" count="4" xr9:uid="{00000000-0011-0000-FFFF-FFFF02000000}">
      <tableStyleElement type="wholeTable" size="0" dxfId="19"/>
      <tableStyleElement type="headerRow" dxfId="18"/>
      <tableStyleElement type="firstRowStripe" dxfId="17"/>
      <tableStyleElement type="secondRowStripe" dxfId="16"/>
    </tableStyle>
    <tableStyle name="10_Paginas-style" pivot="0" count="4" xr9:uid="{57A09D6D-D847-4B28-9C65-107187AFC5AD}">
      <tableStyleElement type="wholeTable" size="0" dxfId="15"/>
      <tableStyleElement type="headerRow" dxfId="14"/>
      <tableStyleElement type="firstRowStripe" dxfId="13"/>
      <tableStyleElement type="secondRowStripe" dxfId="12"/>
    </tableStyle>
    <tableStyle name="50_Paginas-style" pivot="0" count="4" xr9:uid="{DAD5BFE0-DFD6-46E5-85B6-E742F8B6A7B9}">
      <tableStyleElement type="wholeTable" size="0" dxfId="11"/>
      <tableStyleElement type="headerRow" dxfId="10"/>
      <tableStyleElement type="firstRowStripe" dxfId="9"/>
      <tableStyleElement type="secondRowStripe" dxfId="8"/>
    </tableStyle>
    <tableStyle name="100_Paginas-style" pivot="0" count="4" xr9:uid="{958A1A79-B4CC-4755-BD98-7E94771AD082}">
      <tableStyleElement type="wholeTable" size="0" dxfId="7"/>
      <tableStyleElement type="headerRow" dxfId="6"/>
      <tableStyleElement type="firstRowStripe" dxfId="5"/>
      <tableStyleElement type="secondRowStripe" dxfId="4"/>
    </tableStyle>
    <tableStyle name="200_Paginas-style" pivot="0" count="4" xr9:uid="{78A80D3A-B73D-4CC1-9068-D132B489A9B8}">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election activeCell="J25" sqref="J25"/>
    </sheetView>
  </sheetViews>
  <sheetFormatPr defaultRowHeight="12.75" x14ac:dyDescent="0.2"/>
  <cols>
    <col min="5" max="5" width="48.28515625" customWidth="1"/>
    <col min="13" max="13" width="62.5703125" customWidth="1"/>
    <col min="14" max="14" width="47.5703125" customWidth="1"/>
  </cols>
  <sheetData>
    <row r="1" spans="1:15" ht="38.25" x14ac:dyDescent="0.2">
      <c r="A1" s="1" t="s">
        <v>0</v>
      </c>
      <c r="B1" s="1" t="s">
        <v>1</v>
      </c>
      <c r="C1" s="1" t="s">
        <v>2</v>
      </c>
      <c r="D1" s="1" t="s">
        <v>3</v>
      </c>
      <c r="E1" s="1" t="s">
        <v>4</v>
      </c>
      <c r="F1" s="1" t="s">
        <v>5</v>
      </c>
      <c r="G1" s="1" t="s">
        <v>6</v>
      </c>
      <c r="H1" s="1" t="s">
        <v>7</v>
      </c>
      <c r="I1" s="1" t="s">
        <v>8</v>
      </c>
      <c r="J1" s="1" t="s">
        <v>9</v>
      </c>
      <c r="K1" s="1" t="s">
        <v>10</v>
      </c>
      <c r="L1" s="1" t="s">
        <v>11</v>
      </c>
      <c r="M1" s="3" t="s">
        <v>12</v>
      </c>
      <c r="N1" s="1" t="s">
        <v>13</v>
      </c>
      <c r="O1" s="1" t="s">
        <v>14</v>
      </c>
    </row>
    <row r="2" spans="1:15" x14ac:dyDescent="0.2">
      <c r="A2">
        <v>1</v>
      </c>
      <c r="B2" t="s">
        <v>15</v>
      </c>
      <c r="C2" t="s">
        <v>16</v>
      </c>
      <c r="D2" t="s">
        <v>17</v>
      </c>
      <c r="E2" t="s">
        <v>18</v>
      </c>
      <c r="F2">
        <v>8048</v>
      </c>
      <c r="G2">
        <v>8.048</v>
      </c>
      <c r="H2">
        <v>2178</v>
      </c>
      <c r="I2">
        <v>178</v>
      </c>
      <c r="J2">
        <v>1</v>
      </c>
      <c r="K2">
        <v>1.38568772E-3</v>
      </c>
      <c r="L2">
        <v>10</v>
      </c>
      <c r="M2" t="s">
        <v>19</v>
      </c>
      <c r="O2" t="s">
        <v>20</v>
      </c>
    </row>
    <row r="3" spans="1:15" x14ac:dyDescent="0.2">
      <c r="A3">
        <v>2</v>
      </c>
      <c r="B3" t="s">
        <v>15</v>
      </c>
      <c r="C3" t="s">
        <v>21</v>
      </c>
      <c r="D3" t="s">
        <v>22</v>
      </c>
      <c r="E3" t="s">
        <v>23</v>
      </c>
      <c r="F3">
        <v>9924</v>
      </c>
      <c r="G3">
        <v>9.9239999999999995</v>
      </c>
      <c r="H3">
        <v>2289</v>
      </c>
      <c r="I3">
        <v>266</v>
      </c>
      <c r="J3">
        <v>1</v>
      </c>
      <c r="K3">
        <v>1.667969128E-3</v>
      </c>
      <c r="L3">
        <v>10</v>
      </c>
      <c r="M3" t="s">
        <v>24</v>
      </c>
      <c r="O3" t="s">
        <v>20</v>
      </c>
    </row>
    <row r="4" spans="1:15" x14ac:dyDescent="0.2">
      <c r="A4">
        <v>3</v>
      </c>
      <c r="B4" t="s">
        <v>25</v>
      </c>
      <c r="C4" t="s">
        <v>26</v>
      </c>
      <c r="D4" t="s">
        <v>27</v>
      </c>
      <c r="E4" t="s">
        <v>28</v>
      </c>
      <c r="F4">
        <v>6879</v>
      </c>
      <c r="G4">
        <v>6.8789999999999996</v>
      </c>
      <c r="H4">
        <v>1567</v>
      </c>
      <c r="I4">
        <v>134</v>
      </c>
      <c r="J4">
        <v>1</v>
      </c>
      <c r="K4">
        <v>1.0128724080000001E-3</v>
      </c>
      <c r="L4">
        <v>9</v>
      </c>
      <c r="M4" t="s">
        <v>29</v>
      </c>
      <c r="O4" t="s">
        <v>20</v>
      </c>
    </row>
    <row r="5" spans="1:15" x14ac:dyDescent="0.2">
      <c r="A5">
        <v>4</v>
      </c>
      <c r="B5" t="s">
        <v>25</v>
      </c>
      <c r="C5" t="s">
        <v>30</v>
      </c>
      <c r="D5" t="s">
        <v>31</v>
      </c>
      <c r="E5" t="s">
        <v>32</v>
      </c>
      <c r="F5">
        <v>9075</v>
      </c>
      <c r="G5">
        <v>9.0749999999999993</v>
      </c>
      <c r="H5">
        <v>2146</v>
      </c>
      <c r="I5">
        <v>90</v>
      </c>
      <c r="J5">
        <v>1</v>
      </c>
      <c r="K5">
        <v>1.136353736E-3</v>
      </c>
      <c r="L5">
        <v>9</v>
      </c>
      <c r="M5" t="s">
        <v>33</v>
      </c>
      <c r="O5" t="s">
        <v>20</v>
      </c>
    </row>
    <row r="6" spans="1:15" x14ac:dyDescent="0.2">
      <c r="A6">
        <v>5</v>
      </c>
      <c r="B6" t="s">
        <v>25</v>
      </c>
      <c r="C6" t="s">
        <v>34</v>
      </c>
      <c r="D6" t="s">
        <v>35</v>
      </c>
      <c r="E6" t="s">
        <v>36</v>
      </c>
      <c r="F6">
        <v>6628</v>
      </c>
      <c r="G6">
        <v>6.6280000000000001</v>
      </c>
      <c r="H6">
        <v>1926</v>
      </c>
      <c r="I6">
        <v>194</v>
      </c>
      <c r="J6">
        <v>1</v>
      </c>
      <c r="K6">
        <v>1.3234965519999999E-3</v>
      </c>
      <c r="L6">
        <v>10</v>
      </c>
      <c r="M6" t="s">
        <v>37</v>
      </c>
      <c r="O6" t="s">
        <v>20</v>
      </c>
    </row>
    <row r="7" spans="1:15" x14ac:dyDescent="0.2">
      <c r="A7">
        <v>6</v>
      </c>
      <c r="B7" t="s">
        <v>25</v>
      </c>
      <c r="C7" t="s">
        <v>38</v>
      </c>
      <c r="D7" t="s">
        <v>39</v>
      </c>
      <c r="E7" t="s">
        <v>40</v>
      </c>
      <c r="F7">
        <v>5931</v>
      </c>
      <c r="G7">
        <v>5.931</v>
      </c>
      <c r="H7">
        <v>2060</v>
      </c>
      <c r="I7">
        <v>158</v>
      </c>
      <c r="J7">
        <v>1</v>
      </c>
      <c r="K7">
        <v>1.2828414320000001E-3</v>
      </c>
      <c r="L7">
        <v>10</v>
      </c>
      <c r="M7" t="s">
        <v>41</v>
      </c>
      <c r="O7" t="s">
        <v>20</v>
      </c>
    </row>
    <row r="8" spans="1:15" x14ac:dyDescent="0.2">
      <c r="A8">
        <v>7</v>
      </c>
      <c r="B8" t="s">
        <v>42</v>
      </c>
      <c r="C8" t="s">
        <v>43</v>
      </c>
      <c r="D8" t="s">
        <v>44</v>
      </c>
      <c r="E8" t="s">
        <v>45</v>
      </c>
      <c r="F8">
        <v>19451</v>
      </c>
      <c r="G8">
        <v>19.451000000000001</v>
      </c>
      <c r="H8">
        <v>2362</v>
      </c>
      <c r="I8">
        <v>311</v>
      </c>
      <c r="J8">
        <v>1</v>
      </c>
      <c r="K8">
        <v>1.819089996E-3</v>
      </c>
      <c r="L8">
        <v>10</v>
      </c>
      <c r="M8" t="s">
        <v>46</v>
      </c>
      <c r="O8" t="s">
        <v>20</v>
      </c>
    </row>
    <row r="9" spans="1:15" x14ac:dyDescent="0.2">
      <c r="A9">
        <v>8</v>
      </c>
      <c r="B9" t="s">
        <v>42</v>
      </c>
      <c r="C9" t="s">
        <v>47</v>
      </c>
      <c r="D9" t="s">
        <v>48</v>
      </c>
      <c r="E9" t="s">
        <v>49</v>
      </c>
      <c r="F9">
        <v>29375</v>
      </c>
      <c r="G9">
        <v>29.375</v>
      </c>
      <c r="H9">
        <v>2058</v>
      </c>
      <c r="I9">
        <v>186</v>
      </c>
      <c r="J9">
        <v>1</v>
      </c>
      <c r="K9">
        <v>1.3570944719999999E-3</v>
      </c>
      <c r="L9">
        <v>3</v>
      </c>
      <c r="M9" t="s">
        <v>50</v>
      </c>
      <c r="O9" t="s">
        <v>51</v>
      </c>
    </row>
    <row r="10" spans="1:15" x14ac:dyDescent="0.2">
      <c r="A10">
        <v>9</v>
      </c>
      <c r="B10" t="s">
        <v>42</v>
      </c>
      <c r="C10" t="s">
        <v>52</v>
      </c>
      <c r="D10" t="s">
        <v>53</v>
      </c>
      <c r="E10" t="s">
        <v>54</v>
      </c>
      <c r="F10">
        <v>17614</v>
      </c>
      <c r="G10">
        <v>17.614000000000001</v>
      </c>
      <c r="H10">
        <v>1750</v>
      </c>
      <c r="I10">
        <v>339</v>
      </c>
      <c r="J10">
        <v>1</v>
      </c>
      <c r="K10">
        <v>1.6389388759999999E-3</v>
      </c>
      <c r="L10">
        <v>3</v>
      </c>
      <c r="M10" t="s">
        <v>55</v>
      </c>
      <c r="O10" t="s">
        <v>51</v>
      </c>
    </row>
    <row r="11" spans="1:15" x14ac:dyDescent="0.2">
      <c r="A11">
        <v>10</v>
      </c>
      <c r="B11" t="s">
        <v>42</v>
      </c>
      <c r="C11" t="s">
        <v>56</v>
      </c>
      <c r="D11" t="s">
        <v>57</v>
      </c>
      <c r="E11" t="s">
        <v>58</v>
      </c>
      <c r="F11">
        <v>10702</v>
      </c>
      <c r="G11">
        <v>10.702</v>
      </c>
      <c r="H11">
        <v>2119</v>
      </c>
      <c r="I11">
        <v>286</v>
      </c>
      <c r="J11">
        <v>1</v>
      </c>
      <c r="K11">
        <v>1.650703288E-3</v>
      </c>
      <c r="L11">
        <v>10</v>
      </c>
      <c r="M11" t="s">
        <v>59</v>
      </c>
      <c r="O11" t="s">
        <v>20</v>
      </c>
    </row>
    <row r="12" spans="1:15" x14ac:dyDescent="0.2">
      <c r="A12">
        <v>11</v>
      </c>
      <c r="B12" t="s">
        <v>60</v>
      </c>
      <c r="C12" t="s">
        <v>61</v>
      </c>
      <c r="D12" t="s">
        <v>62</v>
      </c>
      <c r="E12" t="s">
        <v>63</v>
      </c>
      <c r="F12">
        <v>24162</v>
      </c>
      <c r="G12">
        <v>24.161999999999999</v>
      </c>
      <c r="H12">
        <v>2395</v>
      </c>
      <c r="I12">
        <v>297</v>
      </c>
      <c r="J12">
        <v>1</v>
      </c>
      <c r="K12">
        <v>1.7953092679999999E-3</v>
      </c>
      <c r="L12">
        <v>9</v>
      </c>
      <c r="M12" t="s">
        <v>64</v>
      </c>
      <c r="O12" t="s">
        <v>20</v>
      </c>
    </row>
    <row r="13" spans="1:15" x14ac:dyDescent="0.2">
      <c r="A13">
        <v>12</v>
      </c>
      <c r="B13" t="s">
        <v>60</v>
      </c>
      <c r="C13" t="s">
        <v>65</v>
      </c>
      <c r="D13" t="s">
        <v>66</v>
      </c>
      <c r="E13" t="s">
        <v>67</v>
      </c>
      <c r="F13">
        <v>19558</v>
      </c>
      <c r="G13">
        <v>19.558</v>
      </c>
      <c r="H13">
        <v>2197</v>
      </c>
      <c r="I13">
        <v>149</v>
      </c>
      <c r="J13">
        <v>1</v>
      </c>
      <c r="K13">
        <v>1.3158429479999999E-3</v>
      </c>
      <c r="L13">
        <v>8</v>
      </c>
      <c r="M13" t="s">
        <v>68</v>
      </c>
      <c r="O13" t="s">
        <v>20</v>
      </c>
    </row>
    <row r="14" spans="1:15" x14ac:dyDescent="0.2">
      <c r="A14">
        <v>13</v>
      </c>
      <c r="B14" t="s">
        <v>60</v>
      </c>
      <c r="C14" t="s">
        <v>69</v>
      </c>
      <c r="D14" t="s">
        <v>70</v>
      </c>
      <c r="E14" t="s">
        <v>71</v>
      </c>
      <c r="F14">
        <v>7540</v>
      </c>
      <c r="G14">
        <v>7.54</v>
      </c>
      <c r="H14">
        <v>1899</v>
      </c>
      <c r="I14">
        <v>282</v>
      </c>
      <c r="J14">
        <v>1</v>
      </c>
      <c r="K14">
        <v>1.5482242319999999E-3</v>
      </c>
      <c r="L14">
        <v>10</v>
      </c>
      <c r="M14" t="s">
        <v>72</v>
      </c>
      <c r="O14" t="s">
        <v>20</v>
      </c>
    </row>
    <row r="15" spans="1:15" x14ac:dyDescent="0.2">
      <c r="A15">
        <v>14</v>
      </c>
      <c r="B15" t="s">
        <v>60</v>
      </c>
      <c r="C15" t="s">
        <v>73</v>
      </c>
      <c r="D15" t="s">
        <v>74</v>
      </c>
      <c r="E15" t="s">
        <v>75</v>
      </c>
      <c r="F15">
        <v>11763</v>
      </c>
      <c r="G15">
        <v>11.763</v>
      </c>
      <c r="H15">
        <v>2487</v>
      </c>
      <c r="I15">
        <v>165</v>
      </c>
      <c r="J15">
        <v>1</v>
      </c>
      <c r="K15">
        <v>1.4796961320000001E-3</v>
      </c>
      <c r="L15">
        <v>10</v>
      </c>
      <c r="M15" t="s">
        <v>76</v>
      </c>
      <c r="O15" t="s">
        <v>20</v>
      </c>
    </row>
    <row r="16" spans="1:15" x14ac:dyDescent="0.2">
      <c r="A16">
        <v>15</v>
      </c>
      <c r="B16" t="s">
        <v>77</v>
      </c>
      <c r="C16" t="s">
        <v>78</v>
      </c>
      <c r="D16" t="s">
        <v>79</v>
      </c>
      <c r="E16" t="s">
        <v>80</v>
      </c>
      <c r="F16">
        <v>11203</v>
      </c>
      <c r="G16">
        <v>11.202999999999999</v>
      </c>
      <c r="H16">
        <v>2278</v>
      </c>
      <c r="I16">
        <v>267</v>
      </c>
      <c r="J16">
        <v>1</v>
      </c>
      <c r="K16">
        <v>1.666063196E-3</v>
      </c>
      <c r="L16">
        <v>10</v>
      </c>
      <c r="M16" t="s">
        <v>81</v>
      </c>
      <c r="O16" t="s">
        <v>20</v>
      </c>
    </row>
    <row r="17" spans="1:15" x14ac:dyDescent="0.2">
      <c r="A17">
        <v>16</v>
      </c>
      <c r="B17" t="s">
        <v>77</v>
      </c>
      <c r="C17" t="s">
        <v>82</v>
      </c>
      <c r="D17" t="s">
        <v>83</v>
      </c>
      <c r="E17" t="s">
        <v>84</v>
      </c>
      <c r="F17">
        <v>9110</v>
      </c>
      <c r="G17">
        <v>9.11</v>
      </c>
      <c r="H17">
        <v>2215</v>
      </c>
      <c r="I17">
        <v>416</v>
      </c>
      <c r="J17">
        <v>1</v>
      </c>
      <c r="K17">
        <v>2.039359584E-3</v>
      </c>
      <c r="L17">
        <v>10</v>
      </c>
      <c r="M17" t="s">
        <v>85</v>
      </c>
      <c r="O17" t="s">
        <v>20</v>
      </c>
    </row>
    <row r="18" spans="1:15" x14ac:dyDescent="0.2">
      <c r="A18">
        <v>17</v>
      </c>
      <c r="B18" t="s">
        <v>77</v>
      </c>
      <c r="C18" t="s">
        <v>86</v>
      </c>
      <c r="D18" t="s">
        <v>87</v>
      </c>
      <c r="E18" t="s">
        <v>88</v>
      </c>
      <c r="F18">
        <v>5526</v>
      </c>
      <c r="G18">
        <v>5.5259999999999998</v>
      </c>
      <c r="H18">
        <v>1841</v>
      </c>
      <c r="I18">
        <v>123</v>
      </c>
      <c r="J18">
        <v>1</v>
      </c>
      <c r="K18">
        <v>1.0976472279999999E-3</v>
      </c>
      <c r="L18">
        <v>10</v>
      </c>
      <c r="M18" t="s">
        <v>89</v>
      </c>
      <c r="O18" t="s">
        <v>20</v>
      </c>
    </row>
    <row r="19" spans="1:15" x14ac:dyDescent="0.2">
      <c r="A19">
        <v>18</v>
      </c>
      <c r="B19" t="s">
        <v>77</v>
      </c>
      <c r="C19" t="s">
        <v>90</v>
      </c>
      <c r="D19" t="s">
        <v>91</v>
      </c>
      <c r="E19" t="s">
        <v>92</v>
      </c>
      <c r="F19">
        <v>8503</v>
      </c>
      <c r="G19">
        <v>8.5030000000000001</v>
      </c>
      <c r="H19">
        <v>2284</v>
      </c>
      <c r="I19">
        <v>109</v>
      </c>
      <c r="J19">
        <v>1</v>
      </c>
      <c r="K19">
        <v>1.24485946E-3</v>
      </c>
      <c r="L19">
        <v>10</v>
      </c>
      <c r="M19" t="s">
        <v>93</v>
      </c>
      <c r="O19" t="s">
        <v>20</v>
      </c>
    </row>
    <row r="20" spans="1:15" x14ac:dyDescent="0.2">
      <c r="A20">
        <v>19</v>
      </c>
      <c r="B20" t="s">
        <v>94</v>
      </c>
      <c r="C20" t="s">
        <v>95</v>
      </c>
      <c r="D20" t="s">
        <v>96</v>
      </c>
      <c r="E20" t="s">
        <v>97</v>
      </c>
      <c r="F20">
        <v>9646</v>
      </c>
      <c r="G20">
        <v>9.6460000000000008</v>
      </c>
      <c r="H20">
        <v>2103</v>
      </c>
      <c r="I20">
        <v>512</v>
      </c>
      <c r="J20">
        <v>1</v>
      </c>
      <c r="K20">
        <v>2.2500909760000002E-3</v>
      </c>
      <c r="L20">
        <v>10</v>
      </c>
      <c r="M20" t="s">
        <v>98</v>
      </c>
      <c r="O20" t="s">
        <v>20</v>
      </c>
    </row>
    <row r="21" spans="1:15" x14ac:dyDescent="0.2">
      <c r="A21">
        <v>20</v>
      </c>
      <c r="B21" t="s">
        <v>94</v>
      </c>
      <c r="C21" t="s">
        <v>99</v>
      </c>
      <c r="D21" t="s">
        <v>100</v>
      </c>
      <c r="E21" t="s">
        <v>101</v>
      </c>
      <c r="F21">
        <v>8860</v>
      </c>
      <c r="G21">
        <v>8.86</v>
      </c>
      <c r="H21">
        <v>959</v>
      </c>
      <c r="I21">
        <v>154</v>
      </c>
      <c r="J21">
        <v>1</v>
      </c>
      <c r="K21">
        <v>8.1293604000000005E-4</v>
      </c>
      <c r="L21">
        <v>7</v>
      </c>
      <c r="M21" t="s">
        <v>102</v>
      </c>
      <c r="O21"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workbookViewId="0"/>
  </sheetViews>
  <sheetFormatPr defaultRowHeight="12.7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14</v>
      </c>
    </row>
    <row r="2" spans="1:14" x14ac:dyDescent="0.2">
      <c r="A2">
        <v>1</v>
      </c>
      <c r="B2" t="s">
        <v>15</v>
      </c>
      <c r="C2" t="s">
        <v>16</v>
      </c>
      <c r="D2" t="s">
        <v>17</v>
      </c>
      <c r="E2" t="s">
        <v>103</v>
      </c>
      <c r="F2">
        <v>6387</v>
      </c>
      <c r="G2">
        <v>6.3869999999999996</v>
      </c>
      <c r="H2">
        <v>23899</v>
      </c>
      <c r="I2">
        <v>2388</v>
      </c>
      <c r="J2">
        <v>1</v>
      </c>
      <c r="K2">
        <v>1.6371082740000001E-2</v>
      </c>
      <c r="L2">
        <v>10</v>
      </c>
      <c r="M2" t="s">
        <v>104</v>
      </c>
      <c r="N2" t="s">
        <v>20</v>
      </c>
    </row>
    <row r="3" spans="1:14" x14ac:dyDescent="0.2">
      <c r="A3">
        <v>2</v>
      </c>
      <c r="B3" t="s">
        <v>15</v>
      </c>
      <c r="C3" t="s">
        <v>21</v>
      </c>
      <c r="D3" t="s">
        <v>22</v>
      </c>
      <c r="E3" t="s">
        <v>105</v>
      </c>
      <c r="F3">
        <v>7039</v>
      </c>
      <c r="G3">
        <v>7.0389999999999997</v>
      </c>
      <c r="H3">
        <v>19994</v>
      </c>
      <c r="I3">
        <v>1998</v>
      </c>
      <c r="J3">
        <v>1</v>
      </c>
      <c r="K3">
        <v>1.3696622300000001E-2</v>
      </c>
      <c r="L3">
        <v>10</v>
      </c>
      <c r="M3" t="s">
        <v>106</v>
      </c>
      <c r="N3" t="s">
        <v>20</v>
      </c>
    </row>
    <row r="4" spans="1:14" x14ac:dyDescent="0.2">
      <c r="A4">
        <v>3</v>
      </c>
      <c r="B4" t="s">
        <v>25</v>
      </c>
      <c r="C4" t="s">
        <v>26</v>
      </c>
      <c r="D4" t="s">
        <v>27</v>
      </c>
      <c r="E4" t="s">
        <v>107</v>
      </c>
      <c r="F4">
        <v>7124</v>
      </c>
      <c r="G4">
        <v>7.1239999999999997</v>
      </c>
      <c r="H4">
        <v>22309</v>
      </c>
      <c r="I4">
        <v>2227</v>
      </c>
      <c r="J4">
        <v>1</v>
      </c>
      <c r="K4">
        <v>1.5276212569999999E-2</v>
      </c>
      <c r="L4">
        <v>10</v>
      </c>
      <c r="M4" t="s">
        <v>108</v>
      </c>
      <c r="N4" t="s">
        <v>20</v>
      </c>
    </row>
    <row r="5" spans="1:14" x14ac:dyDescent="0.2">
      <c r="A5">
        <v>4</v>
      </c>
      <c r="B5" t="s">
        <v>25</v>
      </c>
      <c r="C5" t="s">
        <v>30</v>
      </c>
      <c r="D5" t="s">
        <v>31</v>
      </c>
      <c r="E5" t="s">
        <v>109</v>
      </c>
      <c r="F5">
        <v>8427</v>
      </c>
      <c r="G5">
        <v>8.4269999999999996</v>
      </c>
      <c r="H5">
        <v>21528</v>
      </c>
      <c r="I5">
        <v>2150</v>
      </c>
      <c r="J5">
        <v>1</v>
      </c>
      <c r="K5">
        <v>1.4744002169999999E-2</v>
      </c>
      <c r="L5">
        <v>10</v>
      </c>
      <c r="M5" t="s">
        <v>110</v>
      </c>
      <c r="N5" t="s">
        <v>20</v>
      </c>
    </row>
    <row r="6" spans="1:14" x14ac:dyDescent="0.2">
      <c r="A6">
        <v>5</v>
      </c>
      <c r="B6" t="s">
        <v>25</v>
      </c>
      <c r="C6" t="s">
        <v>34</v>
      </c>
      <c r="D6" t="s">
        <v>35</v>
      </c>
      <c r="E6" t="s">
        <v>111</v>
      </c>
      <c r="F6">
        <v>5864</v>
      </c>
      <c r="G6">
        <v>5.8639999999999999</v>
      </c>
      <c r="H6">
        <v>20862</v>
      </c>
      <c r="I6">
        <v>2083</v>
      </c>
      <c r="J6">
        <v>1</v>
      </c>
      <c r="K6">
        <v>1.428657004E-2</v>
      </c>
      <c r="L6">
        <v>10</v>
      </c>
      <c r="M6" t="s">
        <v>112</v>
      </c>
      <c r="N6" t="s">
        <v>20</v>
      </c>
    </row>
    <row r="7" spans="1:14" x14ac:dyDescent="0.2">
      <c r="A7">
        <v>6</v>
      </c>
      <c r="B7" t="s">
        <v>25</v>
      </c>
      <c r="C7" t="s">
        <v>38</v>
      </c>
      <c r="D7" t="s">
        <v>39</v>
      </c>
      <c r="E7" t="s">
        <v>113</v>
      </c>
      <c r="F7">
        <v>7328</v>
      </c>
      <c r="G7">
        <v>7.3280000000000003</v>
      </c>
      <c r="H7">
        <v>25438</v>
      </c>
      <c r="I7">
        <v>2541</v>
      </c>
      <c r="J7">
        <v>1</v>
      </c>
      <c r="K7">
        <v>1.742322957E-2</v>
      </c>
      <c r="L7">
        <v>10</v>
      </c>
      <c r="M7" t="s">
        <v>114</v>
      </c>
      <c r="N7" t="s">
        <v>20</v>
      </c>
    </row>
    <row r="8" spans="1:14" x14ac:dyDescent="0.2">
      <c r="A8">
        <v>7</v>
      </c>
      <c r="B8" t="s">
        <v>42</v>
      </c>
      <c r="C8" t="s">
        <v>43</v>
      </c>
      <c r="D8" t="s">
        <v>44</v>
      </c>
      <c r="E8" t="s">
        <v>115</v>
      </c>
      <c r="F8">
        <v>9348</v>
      </c>
      <c r="G8">
        <v>9.3480000000000008</v>
      </c>
      <c r="H8">
        <v>28868</v>
      </c>
      <c r="I8">
        <v>2879</v>
      </c>
      <c r="J8">
        <v>1</v>
      </c>
      <c r="K8">
        <v>1.9760140839999999E-2</v>
      </c>
      <c r="L8">
        <v>10</v>
      </c>
      <c r="M8" t="s">
        <v>116</v>
      </c>
      <c r="N8" t="s">
        <v>20</v>
      </c>
    </row>
    <row r="9" spans="1:14" x14ac:dyDescent="0.2">
      <c r="A9">
        <v>8</v>
      </c>
      <c r="B9" t="s">
        <v>42</v>
      </c>
      <c r="C9" t="s">
        <v>47</v>
      </c>
      <c r="D9" t="s">
        <v>48</v>
      </c>
      <c r="E9" t="s">
        <v>117</v>
      </c>
      <c r="F9">
        <v>30686</v>
      </c>
      <c r="G9">
        <v>30.686</v>
      </c>
      <c r="H9">
        <v>70477</v>
      </c>
      <c r="I9">
        <v>7041</v>
      </c>
      <c r="J9">
        <v>1</v>
      </c>
      <c r="K9">
        <v>4.8274592759999999E-2</v>
      </c>
      <c r="L9">
        <v>10</v>
      </c>
      <c r="M9" t="s">
        <v>118</v>
      </c>
      <c r="N9" t="s">
        <v>20</v>
      </c>
    </row>
    <row r="10" spans="1:14" x14ac:dyDescent="0.2">
      <c r="A10">
        <v>9</v>
      </c>
      <c r="B10" t="s">
        <v>42</v>
      </c>
      <c r="C10" t="s">
        <v>52</v>
      </c>
      <c r="D10" t="s">
        <v>53</v>
      </c>
      <c r="E10" t="s">
        <v>119</v>
      </c>
      <c r="F10">
        <v>72811</v>
      </c>
      <c r="G10">
        <v>72.811000000000007</v>
      </c>
      <c r="H10">
        <v>46700</v>
      </c>
      <c r="I10">
        <v>4665</v>
      </c>
      <c r="J10">
        <v>1</v>
      </c>
      <c r="K10">
        <v>3.1986571060000003E-2</v>
      </c>
      <c r="L10">
        <v>3</v>
      </c>
      <c r="M10" t="s">
        <v>120</v>
      </c>
      <c r="N10" t="s">
        <v>51</v>
      </c>
    </row>
    <row r="11" spans="1:14" x14ac:dyDescent="0.2">
      <c r="A11">
        <v>10</v>
      </c>
      <c r="B11" t="s">
        <v>42</v>
      </c>
      <c r="C11" t="s">
        <v>56</v>
      </c>
      <c r="D11" t="s">
        <v>57</v>
      </c>
      <c r="E11" t="s">
        <v>121</v>
      </c>
      <c r="F11">
        <v>20905</v>
      </c>
      <c r="G11">
        <v>20.905000000000001</v>
      </c>
      <c r="H11">
        <v>34748</v>
      </c>
      <c r="I11">
        <v>3470</v>
      </c>
      <c r="J11">
        <v>1</v>
      </c>
      <c r="K11">
        <v>2.3797305370000001E-2</v>
      </c>
      <c r="L11">
        <v>10</v>
      </c>
      <c r="M11" t="s">
        <v>122</v>
      </c>
      <c r="N11" t="s">
        <v>20</v>
      </c>
    </row>
    <row r="12" spans="1:14" x14ac:dyDescent="0.2">
      <c r="A12">
        <v>11</v>
      </c>
      <c r="B12" t="s">
        <v>60</v>
      </c>
      <c r="C12" t="s">
        <v>61</v>
      </c>
      <c r="D12" t="s">
        <v>62</v>
      </c>
      <c r="E12" t="s">
        <v>123</v>
      </c>
      <c r="F12">
        <v>84327</v>
      </c>
      <c r="G12">
        <v>84.326999999999998</v>
      </c>
      <c r="H12">
        <v>187839</v>
      </c>
      <c r="I12">
        <v>18775</v>
      </c>
      <c r="J12">
        <v>1</v>
      </c>
      <c r="K12">
        <v>0.12868799910000001</v>
      </c>
      <c r="L12">
        <v>8</v>
      </c>
      <c r="M12" t="s">
        <v>124</v>
      </c>
      <c r="N12" t="s">
        <v>20</v>
      </c>
    </row>
    <row r="13" spans="1:14" x14ac:dyDescent="0.2">
      <c r="A13">
        <v>12</v>
      </c>
      <c r="B13" t="s">
        <v>60</v>
      </c>
      <c r="C13" t="s">
        <v>65</v>
      </c>
      <c r="D13" t="s">
        <v>66</v>
      </c>
      <c r="E13" t="s">
        <v>125</v>
      </c>
      <c r="F13">
        <v>12290</v>
      </c>
      <c r="G13">
        <v>12.29</v>
      </c>
      <c r="H13">
        <v>32422</v>
      </c>
      <c r="I13">
        <v>3236</v>
      </c>
      <c r="J13">
        <v>1</v>
      </c>
      <c r="K13">
        <v>2.2199719060000001E-2</v>
      </c>
      <c r="L13">
        <v>5</v>
      </c>
      <c r="M13" t="s">
        <v>126</v>
      </c>
      <c r="N13" t="s">
        <v>51</v>
      </c>
    </row>
    <row r="14" spans="1:14" x14ac:dyDescent="0.2">
      <c r="A14">
        <v>13</v>
      </c>
      <c r="B14" t="s">
        <v>60</v>
      </c>
      <c r="C14" t="s">
        <v>69</v>
      </c>
      <c r="D14" t="s">
        <v>70</v>
      </c>
      <c r="E14" t="s">
        <v>127</v>
      </c>
      <c r="F14">
        <v>9647</v>
      </c>
      <c r="G14">
        <v>9.6470000000000002</v>
      </c>
      <c r="H14">
        <v>23666</v>
      </c>
      <c r="I14">
        <v>2359</v>
      </c>
      <c r="J14">
        <v>1</v>
      </c>
      <c r="K14">
        <v>1.6196139849999999E-2</v>
      </c>
      <c r="L14">
        <v>8</v>
      </c>
      <c r="M14" t="s">
        <v>128</v>
      </c>
      <c r="N14" t="s">
        <v>20</v>
      </c>
    </row>
    <row r="15" spans="1:14" x14ac:dyDescent="0.2">
      <c r="A15">
        <v>14</v>
      </c>
      <c r="B15" t="s">
        <v>60</v>
      </c>
      <c r="C15" t="s">
        <v>73</v>
      </c>
      <c r="D15" t="s">
        <v>74</v>
      </c>
      <c r="E15" t="s">
        <v>129</v>
      </c>
      <c r="F15">
        <v>10686</v>
      </c>
      <c r="G15">
        <v>10.686</v>
      </c>
      <c r="H15">
        <v>25692</v>
      </c>
      <c r="I15">
        <v>2562</v>
      </c>
      <c r="J15">
        <v>1</v>
      </c>
      <c r="K15">
        <v>1.7585477160000001E-2</v>
      </c>
      <c r="L15">
        <v>10</v>
      </c>
      <c r="M15" t="s">
        <v>130</v>
      </c>
      <c r="N15" t="s">
        <v>20</v>
      </c>
    </row>
    <row r="16" spans="1:14" x14ac:dyDescent="0.2">
      <c r="A16">
        <v>15</v>
      </c>
      <c r="B16" t="s">
        <v>77</v>
      </c>
      <c r="C16" t="s">
        <v>78</v>
      </c>
      <c r="D16" t="s">
        <v>79</v>
      </c>
      <c r="E16" t="s">
        <v>131</v>
      </c>
      <c r="F16">
        <v>6202</v>
      </c>
      <c r="G16">
        <v>6.202</v>
      </c>
      <c r="H16">
        <v>23065</v>
      </c>
      <c r="I16">
        <v>2300</v>
      </c>
      <c r="J16">
        <v>1</v>
      </c>
      <c r="K16">
        <v>1.578726984E-2</v>
      </c>
      <c r="L16">
        <v>10</v>
      </c>
      <c r="M16" t="s">
        <v>132</v>
      </c>
      <c r="N16" t="s">
        <v>20</v>
      </c>
    </row>
    <row r="17" spans="1:14" x14ac:dyDescent="0.2">
      <c r="A17">
        <v>16</v>
      </c>
      <c r="B17" t="s">
        <v>77</v>
      </c>
      <c r="C17" t="s">
        <v>82</v>
      </c>
      <c r="D17" t="s">
        <v>83</v>
      </c>
      <c r="E17" t="s">
        <v>133</v>
      </c>
      <c r="F17">
        <v>30958</v>
      </c>
      <c r="G17">
        <v>30.957999999999998</v>
      </c>
      <c r="H17">
        <v>34419</v>
      </c>
      <c r="I17">
        <v>3436</v>
      </c>
      <c r="J17">
        <v>1</v>
      </c>
      <c r="K17">
        <v>2.356891669E-2</v>
      </c>
      <c r="L17">
        <v>8</v>
      </c>
      <c r="M17" t="s">
        <v>134</v>
      </c>
      <c r="N17" t="s">
        <v>20</v>
      </c>
    </row>
    <row r="18" spans="1:14" x14ac:dyDescent="0.2">
      <c r="A18">
        <v>17</v>
      </c>
      <c r="B18" t="s">
        <v>77</v>
      </c>
      <c r="C18" t="s">
        <v>86</v>
      </c>
      <c r="D18" t="s">
        <v>87</v>
      </c>
      <c r="E18" t="s">
        <v>135</v>
      </c>
      <c r="F18">
        <v>10720</v>
      </c>
      <c r="G18">
        <v>10.72</v>
      </c>
      <c r="H18">
        <v>21579</v>
      </c>
      <c r="I18">
        <v>2152</v>
      </c>
      <c r="J18">
        <v>1</v>
      </c>
      <c r="K18">
        <v>1.477063539E-2</v>
      </c>
      <c r="L18">
        <v>10</v>
      </c>
      <c r="M18" t="s">
        <v>114</v>
      </c>
      <c r="N18" t="s">
        <v>20</v>
      </c>
    </row>
    <row r="19" spans="1:14" x14ac:dyDescent="0.2">
      <c r="A19">
        <v>18</v>
      </c>
      <c r="B19" t="s">
        <v>77</v>
      </c>
      <c r="C19" t="s">
        <v>90</v>
      </c>
      <c r="D19" t="s">
        <v>91</v>
      </c>
      <c r="E19" t="s">
        <v>136</v>
      </c>
      <c r="F19">
        <v>26178</v>
      </c>
      <c r="G19">
        <v>26.178000000000001</v>
      </c>
      <c r="H19">
        <v>33322</v>
      </c>
      <c r="I19">
        <v>3324</v>
      </c>
      <c r="J19">
        <v>1</v>
      </c>
      <c r="K19">
        <v>2.2811057650000001E-2</v>
      </c>
      <c r="L19">
        <v>10</v>
      </c>
      <c r="M19" t="s">
        <v>137</v>
      </c>
      <c r="N19" t="s">
        <v>20</v>
      </c>
    </row>
    <row r="20" spans="1:14" x14ac:dyDescent="0.2">
      <c r="A20">
        <v>19</v>
      </c>
      <c r="B20" t="s">
        <v>94</v>
      </c>
      <c r="C20" t="s">
        <v>95</v>
      </c>
      <c r="D20" t="s">
        <v>96</v>
      </c>
      <c r="E20" t="s">
        <v>138</v>
      </c>
      <c r="F20">
        <v>6958</v>
      </c>
      <c r="G20">
        <v>6.9580000000000002</v>
      </c>
      <c r="H20">
        <v>38499</v>
      </c>
      <c r="I20">
        <v>3845</v>
      </c>
      <c r="J20">
        <v>1</v>
      </c>
      <c r="K20">
        <v>2.636731392E-2</v>
      </c>
      <c r="L20">
        <v>8</v>
      </c>
      <c r="M20" t="s">
        <v>139</v>
      </c>
      <c r="N20" t="s">
        <v>20</v>
      </c>
    </row>
    <row r="21" spans="1:14" x14ac:dyDescent="0.2">
      <c r="A21">
        <v>20</v>
      </c>
      <c r="B21" t="s">
        <v>94</v>
      </c>
      <c r="C21" t="s">
        <v>99</v>
      </c>
      <c r="D21" t="s">
        <v>100</v>
      </c>
      <c r="E21" t="s">
        <v>140</v>
      </c>
      <c r="F21">
        <v>10584</v>
      </c>
      <c r="G21">
        <v>10.584</v>
      </c>
      <c r="H21">
        <v>32365</v>
      </c>
      <c r="I21">
        <v>3233</v>
      </c>
      <c r="J21">
        <v>1</v>
      </c>
      <c r="K21">
        <v>2.2167901810000001E-2</v>
      </c>
      <c r="L21">
        <v>10</v>
      </c>
      <c r="M21" t="s">
        <v>141</v>
      </c>
      <c r="N2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
  <sheetViews>
    <sheetView workbookViewId="0">
      <selection activeCell="A9" sqref="A9:XFD10"/>
    </sheetView>
  </sheetViews>
  <sheetFormatPr defaultRowHeight="12.75" x14ac:dyDescent="0.2"/>
  <cols>
    <col min="3" max="3" width="26" customWidth="1"/>
    <col min="4" max="4" width="35.85546875" customWidth="1"/>
    <col min="8" max="8" width="12.28515625" customWidth="1"/>
    <col min="9" max="9" width="15.7109375" customWidth="1"/>
    <col min="13" max="13" width="90.85546875" style="4"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3" t="s">
        <v>12</v>
      </c>
      <c r="N1" s="1" t="s">
        <v>14</v>
      </c>
    </row>
    <row r="2" spans="1:14" ht="38.25" x14ac:dyDescent="0.2">
      <c r="A2">
        <v>1</v>
      </c>
      <c r="B2" t="s">
        <v>15</v>
      </c>
      <c r="C2" t="s">
        <v>16</v>
      </c>
      <c r="D2" t="s">
        <v>17</v>
      </c>
      <c r="E2" t="s">
        <v>142</v>
      </c>
      <c r="F2">
        <v>46263</v>
      </c>
      <c r="G2">
        <v>46.262999999999998</v>
      </c>
      <c r="H2">
        <v>355</v>
      </c>
      <c r="I2">
        <v>97</v>
      </c>
      <c r="J2">
        <v>1</v>
      </c>
      <c r="K2">
        <v>4.0817822799999999E-4</v>
      </c>
      <c r="L2">
        <v>9</v>
      </c>
      <c r="M2" s="4" t="s">
        <v>143</v>
      </c>
      <c r="N2" t="s">
        <v>20</v>
      </c>
    </row>
    <row r="3" spans="1:14" ht="63.75" x14ac:dyDescent="0.2">
      <c r="A3">
        <v>2</v>
      </c>
      <c r="B3" t="s">
        <v>15</v>
      </c>
      <c r="C3" t="s">
        <v>21</v>
      </c>
      <c r="D3" t="s">
        <v>22</v>
      </c>
      <c r="E3" t="s">
        <v>144</v>
      </c>
      <c r="F3">
        <v>41141</v>
      </c>
      <c r="G3">
        <v>41.140999999999998</v>
      </c>
      <c r="H3">
        <v>352</v>
      </c>
      <c r="I3">
        <v>228</v>
      </c>
      <c r="J3">
        <v>1</v>
      </c>
      <c r="K3">
        <v>7.5822766400000005E-4</v>
      </c>
      <c r="L3">
        <v>9</v>
      </c>
      <c r="M3" s="4" t="s">
        <v>145</v>
      </c>
      <c r="N3" t="s">
        <v>51</v>
      </c>
    </row>
    <row r="4" spans="1:14" ht="25.5" x14ac:dyDescent="0.2">
      <c r="A4">
        <v>3</v>
      </c>
      <c r="B4" t="s">
        <v>25</v>
      </c>
      <c r="C4" t="s">
        <v>26</v>
      </c>
      <c r="D4" t="s">
        <v>27</v>
      </c>
      <c r="E4" t="s">
        <v>146</v>
      </c>
      <c r="F4">
        <v>10933</v>
      </c>
      <c r="G4">
        <v>10.933</v>
      </c>
      <c r="H4">
        <v>375</v>
      </c>
      <c r="I4">
        <v>75</v>
      </c>
      <c r="J4">
        <v>1</v>
      </c>
      <c r="K4">
        <v>3.5752229999999998E-4</v>
      </c>
      <c r="L4">
        <v>0</v>
      </c>
      <c r="M4" s="4" t="s">
        <v>147</v>
      </c>
      <c r="N4" t="s">
        <v>51</v>
      </c>
    </row>
    <row r="5" spans="1:14" ht="25.5" x14ac:dyDescent="0.2">
      <c r="A5">
        <v>4</v>
      </c>
      <c r="B5" t="s">
        <v>25</v>
      </c>
      <c r="C5" t="s">
        <v>30</v>
      </c>
      <c r="D5" t="s">
        <v>31</v>
      </c>
      <c r="E5" t="s">
        <v>148</v>
      </c>
      <c r="F5">
        <v>18585</v>
      </c>
      <c r="G5">
        <v>18.585000000000001</v>
      </c>
      <c r="H5">
        <v>363</v>
      </c>
      <c r="I5">
        <v>265</v>
      </c>
      <c r="J5">
        <v>1</v>
      </c>
      <c r="K5">
        <v>8.62037588E-4</v>
      </c>
      <c r="L5">
        <v>8</v>
      </c>
      <c r="M5" s="4" t="s">
        <v>149</v>
      </c>
      <c r="N5" t="s">
        <v>51</v>
      </c>
    </row>
    <row r="6" spans="1:14" ht="38.25" x14ac:dyDescent="0.2">
      <c r="A6">
        <v>5</v>
      </c>
      <c r="B6" t="s">
        <v>25</v>
      </c>
      <c r="C6" t="s">
        <v>34</v>
      </c>
      <c r="D6" t="s">
        <v>35</v>
      </c>
      <c r="E6" t="s">
        <v>150</v>
      </c>
      <c r="F6">
        <v>20913</v>
      </c>
      <c r="G6">
        <v>20.913</v>
      </c>
      <c r="H6">
        <v>367</v>
      </c>
      <c r="I6">
        <v>138</v>
      </c>
      <c r="J6">
        <v>1</v>
      </c>
      <c r="K6">
        <v>5.2313194400000005E-4</v>
      </c>
      <c r="L6">
        <v>9</v>
      </c>
      <c r="M6" s="4" t="s">
        <v>151</v>
      </c>
      <c r="N6" t="s">
        <v>20</v>
      </c>
    </row>
    <row r="7" spans="1:14" ht="25.5" x14ac:dyDescent="0.2">
      <c r="A7">
        <v>6</v>
      </c>
      <c r="B7" t="s">
        <v>25</v>
      </c>
      <c r="C7" t="s">
        <v>38</v>
      </c>
      <c r="D7" t="s">
        <v>39</v>
      </c>
      <c r="E7" t="s">
        <v>152</v>
      </c>
      <c r="F7">
        <v>6804</v>
      </c>
      <c r="G7">
        <v>6.8040000000000003</v>
      </c>
      <c r="H7">
        <v>360</v>
      </c>
      <c r="I7">
        <v>123</v>
      </c>
      <c r="J7">
        <v>1</v>
      </c>
      <c r="K7">
        <v>4.79987292E-4</v>
      </c>
      <c r="L7">
        <v>8</v>
      </c>
      <c r="M7" s="4" t="s">
        <v>153</v>
      </c>
      <c r="N7" t="s">
        <v>51</v>
      </c>
    </row>
    <row r="8" spans="1:14" ht="38.25" x14ac:dyDescent="0.2">
      <c r="A8">
        <v>7</v>
      </c>
      <c r="B8" t="s">
        <v>42</v>
      </c>
      <c r="C8" t="s">
        <v>43</v>
      </c>
      <c r="D8" t="s">
        <v>44</v>
      </c>
      <c r="E8" t="s">
        <v>154</v>
      </c>
      <c r="F8">
        <v>13106</v>
      </c>
      <c r="G8">
        <v>13.106</v>
      </c>
      <c r="H8">
        <v>438</v>
      </c>
      <c r="I8">
        <v>22</v>
      </c>
      <c r="J8">
        <v>1</v>
      </c>
      <c r="K8">
        <v>2.4166757599999999E-4</v>
      </c>
      <c r="L8">
        <v>8</v>
      </c>
      <c r="M8" s="4" t="s">
        <v>155</v>
      </c>
      <c r="N8" t="s">
        <v>51</v>
      </c>
    </row>
    <row r="9" spans="1:14" ht="25.5" x14ac:dyDescent="0.2">
      <c r="A9">
        <v>8</v>
      </c>
      <c r="B9" t="s">
        <v>42</v>
      </c>
      <c r="C9" t="s">
        <v>47</v>
      </c>
      <c r="D9" t="s">
        <v>48</v>
      </c>
      <c r="E9" t="s">
        <v>156</v>
      </c>
      <c r="F9">
        <v>18443</v>
      </c>
      <c r="G9">
        <v>18.443000000000001</v>
      </c>
      <c r="H9">
        <v>403</v>
      </c>
      <c r="I9">
        <v>93</v>
      </c>
      <c r="J9">
        <v>1</v>
      </c>
      <c r="K9">
        <v>4.1747018000000001E-4</v>
      </c>
      <c r="L9">
        <v>2</v>
      </c>
      <c r="M9" s="4" t="s">
        <v>157</v>
      </c>
      <c r="N9" t="s">
        <v>51</v>
      </c>
    </row>
    <row r="10" spans="1:14" ht="25.5" x14ac:dyDescent="0.2">
      <c r="A10">
        <v>9</v>
      </c>
      <c r="B10" t="s">
        <v>42</v>
      </c>
      <c r="C10" t="s">
        <v>52</v>
      </c>
      <c r="D10" t="s">
        <v>53</v>
      </c>
      <c r="E10" t="s">
        <v>158</v>
      </c>
      <c r="F10">
        <v>22283</v>
      </c>
      <c r="G10">
        <v>22.283000000000001</v>
      </c>
      <c r="H10">
        <v>380</v>
      </c>
      <c r="I10">
        <v>169</v>
      </c>
      <c r="J10">
        <v>1</v>
      </c>
      <c r="K10">
        <v>6.1168587600000002E-4</v>
      </c>
      <c r="L10">
        <v>2</v>
      </c>
      <c r="M10" s="4" t="s">
        <v>159</v>
      </c>
      <c r="N10" t="s">
        <v>51</v>
      </c>
    </row>
    <row r="11" spans="1:14" ht="38.25" x14ac:dyDescent="0.2">
      <c r="A11">
        <v>10</v>
      </c>
      <c r="B11" t="s">
        <v>42</v>
      </c>
      <c r="C11" t="s">
        <v>56</v>
      </c>
      <c r="D11" t="s">
        <v>57</v>
      </c>
      <c r="E11" t="s">
        <v>160</v>
      </c>
      <c r="F11">
        <v>13637</v>
      </c>
      <c r="G11">
        <v>13.637</v>
      </c>
      <c r="H11">
        <v>378</v>
      </c>
      <c r="I11">
        <v>138</v>
      </c>
      <c r="J11">
        <v>1</v>
      </c>
      <c r="K11">
        <v>5.2771955999999999E-4</v>
      </c>
      <c r="L11">
        <v>2</v>
      </c>
      <c r="M11" s="4" t="s">
        <v>161</v>
      </c>
      <c r="N11" t="s">
        <v>51</v>
      </c>
    </row>
    <row r="12" spans="1:14" ht="25.5" x14ac:dyDescent="0.2">
      <c r="A12">
        <v>11</v>
      </c>
      <c r="B12" t="s">
        <v>60</v>
      </c>
      <c r="C12" t="s">
        <v>61</v>
      </c>
      <c r="D12" t="s">
        <v>62</v>
      </c>
      <c r="E12" t="s">
        <v>162</v>
      </c>
      <c r="F12">
        <v>38232</v>
      </c>
      <c r="G12">
        <v>38.231999999999999</v>
      </c>
      <c r="H12">
        <v>441</v>
      </c>
      <c r="I12">
        <v>167</v>
      </c>
      <c r="J12">
        <v>1</v>
      </c>
      <c r="K12">
        <v>6.3176292400000001E-4</v>
      </c>
      <c r="L12">
        <v>0</v>
      </c>
      <c r="M12" s="4" t="s">
        <v>163</v>
      </c>
      <c r="N12" t="s">
        <v>51</v>
      </c>
    </row>
    <row r="13" spans="1:14" ht="25.5" x14ac:dyDescent="0.2">
      <c r="A13">
        <v>12</v>
      </c>
      <c r="B13" t="s">
        <v>60</v>
      </c>
      <c r="C13" t="s">
        <v>65</v>
      </c>
      <c r="D13" t="s">
        <v>66</v>
      </c>
      <c r="E13" t="s">
        <v>164</v>
      </c>
      <c r="F13">
        <v>10273</v>
      </c>
      <c r="G13">
        <v>10.273</v>
      </c>
      <c r="H13">
        <v>407</v>
      </c>
      <c r="I13">
        <v>25</v>
      </c>
      <c r="J13">
        <v>1</v>
      </c>
      <c r="K13">
        <v>2.36783892E-4</v>
      </c>
      <c r="L13">
        <v>3</v>
      </c>
      <c r="M13" s="4" t="s">
        <v>165</v>
      </c>
      <c r="N13" t="s">
        <v>51</v>
      </c>
    </row>
    <row r="14" spans="1:14" ht="25.5" x14ac:dyDescent="0.2">
      <c r="A14">
        <v>13</v>
      </c>
      <c r="B14" t="s">
        <v>60</v>
      </c>
      <c r="C14" t="s">
        <v>69</v>
      </c>
      <c r="D14" t="s">
        <v>70</v>
      </c>
      <c r="E14" t="s">
        <v>166</v>
      </c>
      <c r="F14">
        <v>7321</v>
      </c>
      <c r="G14">
        <v>7.3209999999999997</v>
      </c>
      <c r="H14">
        <v>394</v>
      </c>
      <c r="I14">
        <v>105</v>
      </c>
      <c r="J14">
        <v>1</v>
      </c>
      <c r="K14">
        <v>4.4589688399999998E-4</v>
      </c>
      <c r="L14">
        <v>2</v>
      </c>
      <c r="M14" s="4" t="s">
        <v>167</v>
      </c>
      <c r="N14" t="s">
        <v>51</v>
      </c>
    </row>
    <row r="15" spans="1:14" ht="25.5" x14ac:dyDescent="0.2">
      <c r="A15">
        <v>14</v>
      </c>
      <c r="B15" t="s">
        <v>60</v>
      </c>
      <c r="C15" t="s">
        <v>73</v>
      </c>
      <c r="D15" t="s">
        <v>74</v>
      </c>
      <c r="E15" t="s">
        <v>168</v>
      </c>
      <c r="F15">
        <v>5381</v>
      </c>
      <c r="G15">
        <v>5.3810000000000002</v>
      </c>
      <c r="H15">
        <v>407</v>
      </c>
      <c r="I15">
        <v>148</v>
      </c>
      <c r="J15">
        <v>1</v>
      </c>
      <c r="K15">
        <v>5.6663102399999996E-4</v>
      </c>
      <c r="L15">
        <v>8</v>
      </c>
      <c r="M15" s="4" t="s">
        <v>169</v>
      </c>
      <c r="N15" t="s">
        <v>51</v>
      </c>
    </row>
    <row r="16" spans="1:14" ht="25.5" x14ac:dyDescent="0.2">
      <c r="A16">
        <v>15</v>
      </c>
      <c r="B16" t="s">
        <v>77</v>
      </c>
      <c r="C16" t="s">
        <v>78</v>
      </c>
      <c r="D16" t="s">
        <v>79</v>
      </c>
      <c r="E16" t="s">
        <v>170</v>
      </c>
      <c r="F16">
        <v>9402</v>
      </c>
      <c r="G16">
        <v>9.4019999999999992</v>
      </c>
      <c r="H16">
        <v>397</v>
      </c>
      <c r="I16">
        <v>211</v>
      </c>
      <c r="J16">
        <v>1</v>
      </c>
      <c r="K16">
        <v>7.3140655600000004E-4</v>
      </c>
      <c r="L16">
        <v>8</v>
      </c>
      <c r="M16" s="4" t="s">
        <v>171</v>
      </c>
      <c r="N16" t="s">
        <v>20</v>
      </c>
    </row>
    <row r="17" spans="1:14" x14ac:dyDescent="0.2">
      <c r="A17">
        <v>16</v>
      </c>
      <c r="B17" t="s">
        <v>77</v>
      </c>
      <c r="C17" t="s">
        <v>82</v>
      </c>
      <c r="D17" t="s">
        <v>83</v>
      </c>
      <c r="E17" t="s">
        <v>172</v>
      </c>
      <c r="F17">
        <v>12861</v>
      </c>
      <c r="G17">
        <v>12.861000000000001</v>
      </c>
      <c r="H17">
        <v>381</v>
      </c>
      <c r="I17">
        <v>272</v>
      </c>
      <c r="J17">
        <v>1</v>
      </c>
      <c r="K17">
        <v>8.8831638399999998E-4</v>
      </c>
      <c r="L17">
        <v>2</v>
      </c>
      <c r="M17" s="4" t="s">
        <v>173</v>
      </c>
      <c r="N17" t="s">
        <v>51</v>
      </c>
    </row>
    <row r="18" spans="1:14" ht="25.5" x14ac:dyDescent="0.2">
      <c r="A18">
        <v>17</v>
      </c>
      <c r="B18" t="s">
        <v>77</v>
      </c>
      <c r="C18" t="s">
        <v>86</v>
      </c>
      <c r="D18" t="s">
        <v>87</v>
      </c>
      <c r="E18" t="s">
        <v>174</v>
      </c>
      <c r="F18">
        <v>12602</v>
      </c>
      <c r="G18">
        <v>12.602</v>
      </c>
      <c r="H18">
        <v>380</v>
      </c>
      <c r="I18">
        <v>129</v>
      </c>
      <c r="J18">
        <v>1</v>
      </c>
      <c r="K18">
        <v>5.0441851599999997E-4</v>
      </c>
      <c r="L18">
        <v>8</v>
      </c>
      <c r="M18" s="4" t="s">
        <v>171</v>
      </c>
      <c r="N18" t="s">
        <v>20</v>
      </c>
    </row>
    <row r="19" spans="1:14" ht="38.25" x14ac:dyDescent="0.2">
      <c r="A19">
        <v>18</v>
      </c>
      <c r="B19" t="s">
        <v>77</v>
      </c>
      <c r="C19" t="s">
        <v>90</v>
      </c>
      <c r="D19" t="s">
        <v>91</v>
      </c>
      <c r="E19" t="s">
        <v>175</v>
      </c>
      <c r="F19">
        <v>11653</v>
      </c>
      <c r="G19">
        <v>11.653</v>
      </c>
      <c r="H19">
        <v>429</v>
      </c>
      <c r="I19">
        <v>10</v>
      </c>
      <c r="J19">
        <v>1</v>
      </c>
      <c r="K19">
        <v>2.0573386400000001E-4</v>
      </c>
      <c r="L19">
        <v>5</v>
      </c>
      <c r="M19" s="4" t="s">
        <v>176</v>
      </c>
      <c r="N19" t="s">
        <v>51</v>
      </c>
    </row>
    <row r="20" spans="1:14" ht="25.5" x14ac:dyDescent="0.2">
      <c r="A20">
        <v>19</v>
      </c>
      <c r="B20" t="s">
        <v>94</v>
      </c>
      <c r="C20" t="s">
        <v>95</v>
      </c>
      <c r="D20" t="s">
        <v>96</v>
      </c>
      <c r="E20" t="s">
        <v>177</v>
      </c>
      <c r="F20">
        <v>11725</v>
      </c>
      <c r="G20">
        <v>11.725</v>
      </c>
      <c r="H20">
        <v>378</v>
      </c>
      <c r="I20">
        <v>285</v>
      </c>
      <c r="J20">
        <v>1</v>
      </c>
      <c r="K20">
        <v>9.2192710800000001E-4</v>
      </c>
      <c r="L20">
        <v>10</v>
      </c>
      <c r="M20" s="4" t="s">
        <v>178</v>
      </c>
      <c r="N20" t="s">
        <v>20</v>
      </c>
    </row>
    <row r="21" spans="1:14" ht="38.25" x14ac:dyDescent="0.2">
      <c r="A21">
        <v>20</v>
      </c>
      <c r="B21" t="s">
        <v>94</v>
      </c>
      <c r="C21" t="s">
        <v>99</v>
      </c>
      <c r="D21" t="s">
        <v>100</v>
      </c>
      <c r="E21" t="s">
        <v>179</v>
      </c>
      <c r="F21">
        <v>27595</v>
      </c>
      <c r="G21">
        <v>27.594999999999999</v>
      </c>
      <c r="H21">
        <v>374</v>
      </c>
      <c r="I21">
        <v>215</v>
      </c>
      <c r="J21">
        <v>1</v>
      </c>
      <c r="K21">
        <v>7.3254100399999995E-4</v>
      </c>
      <c r="L21">
        <v>9</v>
      </c>
      <c r="M21" s="4" t="s">
        <v>180</v>
      </c>
      <c r="N21" t="s">
        <v>20</v>
      </c>
    </row>
    <row r="24" spans="1:14" x14ac:dyDescent="0.2">
      <c r="H24">
        <f>SUM(H2:H21)</f>
        <v>7759</v>
      </c>
      <c r="I24">
        <f>SUM(I2:I21)</f>
        <v>2915</v>
      </c>
      <c r="J24" s="2">
        <f>H24+I24</f>
        <v>10674</v>
      </c>
      <c r="K24" t="s">
        <v>199</v>
      </c>
    </row>
    <row r="25" spans="1:14" x14ac:dyDescent="0.2">
      <c r="B25" t="s">
        <v>181</v>
      </c>
      <c r="C25" t="s">
        <v>182</v>
      </c>
      <c r="D25" t="s">
        <v>183</v>
      </c>
    </row>
    <row r="26" spans="1:14" x14ac:dyDescent="0.2">
      <c r="B26" t="s">
        <v>184</v>
      </c>
      <c r="C26" t="s">
        <v>185</v>
      </c>
      <c r="D26" t="s">
        <v>186</v>
      </c>
      <c r="I26" s="2" t="s">
        <v>200</v>
      </c>
    </row>
    <row r="27" spans="1:14" x14ac:dyDescent="0.2">
      <c r="B27" t="s">
        <v>187</v>
      </c>
      <c r="C27" t="s">
        <v>188</v>
      </c>
      <c r="D27" t="s">
        <v>189</v>
      </c>
    </row>
    <row r="28" spans="1:14" x14ac:dyDescent="0.2">
      <c r="B28" t="s">
        <v>190</v>
      </c>
      <c r="C28" t="s">
        <v>191</v>
      </c>
      <c r="D28" t="s">
        <v>192</v>
      </c>
    </row>
    <row r="29" spans="1:14" x14ac:dyDescent="0.2">
      <c r="B29" t="s">
        <v>193</v>
      </c>
      <c r="C29" t="s">
        <v>194</v>
      </c>
      <c r="D29" t="s">
        <v>195</v>
      </c>
    </row>
    <row r="30" spans="1:14" x14ac:dyDescent="0.2">
      <c r="B30" t="s">
        <v>196</v>
      </c>
      <c r="C30" t="s">
        <v>197</v>
      </c>
      <c r="D30"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RAG_Pinecone</vt:lpstr>
      <vt:lpstr>RAG_Native</vt:lpstr>
      <vt:lpstr>LongContext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Florian Alexandru Serb Petrusel</cp:lastModifiedBy>
  <dcterms:created xsi:type="dcterms:W3CDTF">2026-03-03T16:44:48Z</dcterms:created>
  <dcterms:modified xsi:type="dcterms:W3CDTF">2026-03-03T19:33:37Z</dcterms:modified>
</cp:coreProperties>
</file>